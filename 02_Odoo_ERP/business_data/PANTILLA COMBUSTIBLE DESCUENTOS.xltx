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brah\Desktop\"/>
    </mc:Choice>
  </mc:AlternateContent>
  <xr:revisionPtr revIDLastSave="0" documentId="8_{BA188145-525A-4E0C-A402-5D5AB03B209E}" xr6:coauthVersionLast="47" xr6:coauthVersionMax="47" xr10:uidLastSave="{00000000-0000-0000-0000-000000000000}"/>
  <bookViews>
    <workbookView xWindow="-108" yWindow="-108" windowWidth="23256" windowHeight="12456" xr2:uid="{0595823C-D902-465C-B39B-7AB7878273D6}"/>
  </bookViews>
  <sheets>
    <sheet name="PLANTILLA" sheetId="2" r:id="rId1"/>
    <sheet name="Hoja2" sheetId="4" r:id="rId2"/>
    <sheet name="COPIA" sheetId="5" r:id="rId3"/>
  </sheets>
  <definedNames>
    <definedName name="_xlnm._FilterDatabase" localSheetId="0" hidden="1">PLANTILLA!$A$1:$L$346</definedName>
  </definedNames>
  <calcPr calcId="191029"/>
  <pivotCaches>
    <pivotCache cacheId="11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7" i="2" l="1"/>
  <c r="L347" i="2"/>
  <c r="I3" i="2"/>
  <c r="I4" i="2"/>
  <c r="I5" i="2"/>
  <c r="I6" i="2"/>
  <c r="I7" i="2"/>
  <c r="I8" i="2"/>
  <c r="I9" i="2"/>
  <c r="K9" i="2" s="1"/>
  <c r="L9" i="2" s="1"/>
  <c r="I10" i="2"/>
  <c r="K10" i="2" s="1"/>
  <c r="L10" i="2" s="1"/>
  <c r="I11" i="2"/>
  <c r="K11" i="2" s="1"/>
  <c r="L11" i="2" s="1"/>
  <c r="I12" i="2"/>
  <c r="I13" i="2"/>
  <c r="I14" i="2"/>
  <c r="I15" i="2"/>
  <c r="I16" i="2"/>
  <c r="I17" i="2"/>
  <c r="K17" i="2" s="1"/>
  <c r="L17" i="2" s="1"/>
  <c r="I18" i="2"/>
  <c r="I19" i="2"/>
  <c r="K19" i="2" s="1"/>
  <c r="L19" i="2" s="1"/>
  <c r="I20" i="2"/>
  <c r="I21" i="2"/>
  <c r="I22" i="2"/>
  <c r="K22" i="2" s="1"/>
  <c r="L22" i="2" s="1"/>
  <c r="I23" i="2"/>
  <c r="I24" i="2"/>
  <c r="I25" i="2"/>
  <c r="K25" i="2" s="1"/>
  <c r="L25" i="2" s="1"/>
  <c r="I26" i="2"/>
  <c r="K26" i="2" s="1"/>
  <c r="L26" i="2" s="1"/>
  <c r="I27" i="2"/>
  <c r="I28" i="2"/>
  <c r="I29" i="2"/>
  <c r="I30" i="2"/>
  <c r="I31" i="2"/>
  <c r="I32" i="2"/>
  <c r="I33" i="2"/>
  <c r="K33" i="2" s="1"/>
  <c r="L33" i="2" s="1"/>
  <c r="I34" i="2"/>
  <c r="K34" i="2" s="1"/>
  <c r="L34" i="2" s="1"/>
  <c r="I35" i="2"/>
  <c r="K35" i="2" s="1"/>
  <c r="L35" i="2" s="1"/>
  <c r="I36" i="2"/>
  <c r="I37" i="2"/>
  <c r="I38" i="2"/>
  <c r="K38" i="2" s="1"/>
  <c r="L38" i="2" s="1"/>
  <c r="I39" i="2"/>
  <c r="I40" i="2"/>
  <c r="I41" i="2"/>
  <c r="K41" i="2" s="1"/>
  <c r="L41" i="2" s="1"/>
  <c r="I42" i="2"/>
  <c r="I43" i="2"/>
  <c r="I44" i="2"/>
  <c r="I45" i="2"/>
  <c r="I46" i="2"/>
  <c r="K46" i="2" s="1"/>
  <c r="L46" i="2" s="1"/>
  <c r="I47" i="2"/>
  <c r="I48" i="2"/>
  <c r="I49" i="2"/>
  <c r="K49" i="2" s="1"/>
  <c r="L49" i="2" s="1"/>
  <c r="I50" i="2"/>
  <c r="K50" i="2" s="1"/>
  <c r="L50" i="2" s="1"/>
  <c r="I51" i="2"/>
  <c r="I52" i="2"/>
  <c r="I53" i="2"/>
  <c r="I54" i="2"/>
  <c r="I55" i="2"/>
  <c r="I56" i="2"/>
  <c r="I57" i="2"/>
  <c r="K57" i="2" s="1"/>
  <c r="L57" i="2" s="1"/>
  <c r="I58" i="2"/>
  <c r="K58" i="2" s="1"/>
  <c r="L58" i="2" s="1"/>
  <c r="I59" i="2"/>
  <c r="K59" i="2" s="1"/>
  <c r="L59" i="2" s="1"/>
  <c r="I60" i="2"/>
  <c r="I61" i="2"/>
  <c r="I62" i="2"/>
  <c r="K62" i="2" s="1"/>
  <c r="L62" i="2" s="1"/>
  <c r="I63" i="2"/>
  <c r="I64" i="2"/>
  <c r="I65" i="2"/>
  <c r="K65" i="2" s="1"/>
  <c r="L65" i="2" s="1"/>
  <c r="I66" i="2"/>
  <c r="K66" i="2" s="1"/>
  <c r="L66" i="2" s="1"/>
  <c r="I67" i="2"/>
  <c r="I68" i="2"/>
  <c r="I69" i="2"/>
  <c r="I70" i="2"/>
  <c r="I71" i="2"/>
  <c r="I72" i="2"/>
  <c r="K72" i="2" s="1"/>
  <c r="L72" i="2" s="1"/>
  <c r="I73" i="2"/>
  <c r="K73" i="2" s="1"/>
  <c r="L73" i="2" s="1"/>
  <c r="I74" i="2"/>
  <c r="I75" i="2"/>
  <c r="K75" i="2" s="1"/>
  <c r="L75" i="2" s="1"/>
  <c r="I76" i="2"/>
  <c r="I77" i="2"/>
  <c r="I78" i="2"/>
  <c r="I79" i="2"/>
  <c r="I80" i="2"/>
  <c r="K80" i="2" s="1"/>
  <c r="L80" i="2" s="1"/>
  <c r="I81" i="2"/>
  <c r="K81" i="2" s="1"/>
  <c r="L81" i="2" s="1"/>
  <c r="I82" i="2"/>
  <c r="K82" i="2" s="1"/>
  <c r="L82" i="2" s="1"/>
  <c r="I83" i="2"/>
  <c r="K83" i="2" s="1"/>
  <c r="L83" i="2" s="1"/>
  <c r="I84" i="2"/>
  <c r="I85" i="2"/>
  <c r="I86" i="2"/>
  <c r="K86" i="2" s="1"/>
  <c r="L86" i="2" s="1"/>
  <c r="I87" i="2"/>
  <c r="I88" i="2"/>
  <c r="I89" i="2"/>
  <c r="K89" i="2" s="1"/>
  <c r="L89" i="2" s="1"/>
  <c r="I90" i="2"/>
  <c r="K90" i="2" s="1"/>
  <c r="L90" i="2" s="1"/>
  <c r="I91" i="2"/>
  <c r="I92" i="2"/>
  <c r="I93" i="2"/>
  <c r="I94" i="2"/>
  <c r="K94" i="2" s="1"/>
  <c r="L94" i="2" s="1"/>
  <c r="I95" i="2"/>
  <c r="I96" i="2"/>
  <c r="I97" i="2"/>
  <c r="K97" i="2" s="1"/>
  <c r="L97" i="2" s="1"/>
  <c r="I98" i="2"/>
  <c r="I99" i="2"/>
  <c r="I100" i="2"/>
  <c r="I101" i="2"/>
  <c r="I102" i="2"/>
  <c r="I103" i="2"/>
  <c r="I104" i="2"/>
  <c r="I105" i="2"/>
  <c r="K105" i="2" s="1"/>
  <c r="L105" i="2" s="1"/>
  <c r="I106" i="2"/>
  <c r="I107" i="2"/>
  <c r="K107" i="2" s="1"/>
  <c r="L107" i="2" s="1"/>
  <c r="I108" i="2"/>
  <c r="I109" i="2"/>
  <c r="I110" i="2"/>
  <c r="K110" i="2" s="1"/>
  <c r="L110" i="2" s="1"/>
  <c r="I111" i="2"/>
  <c r="I112" i="2"/>
  <c r="I113" i="2"/>
  <c r="K113" i="2" s="1"/>
  <c r="L113" i="2" s="1"/>
  <c r="I114" i="2"/>
  <c r="K114" i="2" s="1"/>
  <c r="L114" i="2" s="1"/>
  <c r="I115" i="2"/>
  <c r="I116" i="2"/>
  <c r="I117" i="2"/>
  <c r="I118" i="2"/>
  <c r="I119" i="2"/>
  <c r="I120" i="2"/>
  <c r="I121" i="2"/>
  <c r="K121" i="2" s="1"/>
  <c r="L121" i="2" s="1"/>
  <c r="I122" i="2"/>
  <c r="K122" i="2" s="1"/>
  <c r="L122" i="2" s="1"/>
  <c r="I123" i="2"/>
  <c r="K123" i="2" s="1"/>
  <c r="L123" i="2" s="1"/>
  <c r="I124" i="2"/>
  <c r="I125" i="2"/>
  <c r="I126" i="2"/>
  <c r="I127" i="2"/>
  <c r="I128" i="2"/>
  <c r="K128" i="2" s="1"/>
  <c r="L128" i="2" s="1"/>
  <c r="I129" i="2"/>
  <c r="K129" i="2" s="1"/>
  <c r="L129" i="2" s="1"/>
  <c r="I130" i="2"/>
  <c r="I131" i="2"/>
  <c r="K131" i="2" s="1"/>
  <c r="L131" i="2" s="1"/>
  <c r="I132" i="2"/>
  <c r="I133" i="2"/>
  <c r="I134" i="2"/>
  <c r="K134" i="2" s="1"/>
  <c r="L134" i="2" s="1"/>
  <c r="I135" i="2"/>
  <c r="I136" i="2"/>
  <c r="I137" i="2"/>
  <c r="K137" i="2" s="1"/>
  <c r="L137" i="2" s="1"/>
  <c r="I138" i="2"/>
  <c r="K138" i="2" s="1"/>
  <c r="L138" i="2" s="1"/>
  <c r="I139" i="2"/>
  <c r="I140" i="2"/>
  <c r="I141" i="2"/>
  <c r="I142" i="2"/>
  <c r="K142" i="2" s="1"/>
  <c r="L142" i="2" s="1"/>
  <c r="I143" i="2"/>
  <c r="I144" i="2"/>
  <c r="I145" i="2"/>
  <c r="K145" i="2" s="1"/>
  <c r="L145" i="2" s="1"/>
  <c r="I146" i="2"/>
  <c r="K146" i="2" s="1"/>
  <c r="L146" i="2" s="1"/>
  <c r="I147" i="2"/>
  <c r="K147" i="2" s="1"/>
  <c r="L147" i="2" s="1"/>
  <c r="I148" i="2"/>
  <c r="I149" i="2"/>
  <c r="I150" i="2"/>
  <c r="K150" i="2" s="1"/>
  <c r="L150" i="2" s="1"/>
  <c r="I151" i="2"/>
  <c r="I152" i="2"/>
  <c r="I153" i="2"/>
  <c r="K153" i="2" s="1"/>
  <c r="L153" i="2" s="1"/>
  <c r="I154" i="2"/>
  <c r="K154" i="2" s="1"/>
  <c r="L154" i="2" s="1"/>
  <c r="I155" i="2"/>
  <c r="K155" i="2" s="1"/>
  <c r="L155" i="2" s="1"/>
  <c r="I156" i="2"/>
  <c r="I157" i="2"/>
  <c r="I158" i="2"/>
  <c r="K158" i="2" s="1"/>
  <c r="L158" i="2" s="1"/>
  <c r="I159" i="2"/>
  <c r="I160" i="2"/>
  <c r="I161" i="2"/>
  <c r="K161" i="2" s="1"/>
  <c r="L161" i="2" s="1"/>
  <c r="I162" i="2"/>
  <c r="K162" i="2" s="1"/>
  <c r="L162" i="2" s="1"/>
  <c r="I163" i="2"/>
  <c r="I164" i="2"/>
  <c r="I165" i="2"/>
  <c r="I166" i="2"/>
  <c r="K166" i="2" s="1"/>
  <c r="L166" i="2" s="1"/>
  <c r="I167" i="2"/>
  <c r="I168" i="2"/>
  <c r="K168" i="2" s="1"/>
  <c r="L168" i="2" s="1"/>
  <c r="I169" i="2"/>
  <c r="K169" i="2" s="1"/>
  <c r="L169" i="2" s="1"/>
  <c r="I170" i="2"/>
  <c r="K170" i="2" s="1"/>
  <c r="L170" i="2" s="1"/>
  <c r="I171" i="2"/>
  <c r="K171" i="2" s="1"/>
  <c r="L171" i="2" s="1"/>
  <c r="I172" i="2"/>
  <c r="I173" i="2"/>
  <c r="I174" i="2"/>
  <c r="K174" i="2" s="1"/>
  <c r="L174" i="2" s="1"/>
  <c r="I175" i="2"/>
  <c r="I176" i="2"/>
  <c r="K176" i="2" s="1"/>
  <c r="L176" i="2" s="1"/>
  <c r="I177" i="2"/>
  <c r="K177" i="2" s="1"/>
  <c r="L177" i="2" s="1"/>
  <c r="I178" i="2"/>
  <c r="I179" i="2"/>
  <c r="K179" i="2" s="1"/>
  <c r="L179" i="2" s="1"/>
  <c r="I180" i="2"/>
  <c r="I181" i="2"/>
  <c r="I182" i="2"/>
  <c r="K182" i="2" s="1"/>
  <c r="L182" i="2" s="1"/>
  <c r="I183" i="2"/>
  <c r="I184" i="2"/>
  <c r="I185" i="2"/>
  <c r="K185" i="2" s="1"/>
  <c r="L185" i="2" s="1"/>
  <c r="I186" i="2"/>
  <c r="I187" i="2"/>
  <c r="K187" i="2" s="1"/>
  <c r="L187" i="2" s="1"/>
  <c r="I188" i="2"/>
  <c r="I189" i="2"/>
  <c r="I190" i="2"/>
  <c r="K190" i="2" s="1"/>
  <c r="L190" i="2" s="1"/>
  <c r="I191" i="2"/>
  <c r="I192" i="2"/>
  <c r="K192" i="2" s="1"/>
  <c r="L192" i="2" s="1"/>
  <c r="I193" i="2"/>
  <c r="K193" i="2" s="1"/>
  <c r="L193" i="2" s="1"/>
  <c r="I194" i="2"/>
  <c r="K194" i="2" s="1"/>
  <c r="L194" i="2" s="1"/>
  <c r="I195" i="2"/>
  <c r="K195" i="2" s="1"/>
  <c r="L195" i="2" s="1"/>
  <c r="I196" i="2"/>
  <c r="I197" i="2"/>
  <c r="I198" i="2"/>
  <c r="K198" i="2" s="1"/>
  <c r="L198" i="2" s="1"/>
  <c r="I199" i="2"/>
  <c r="I200" i="2"/>
  <c r="I201" i="2"/>
  <c r="K201" i="2" s="1"/>
  <c r="L201" i="2" s="1"/>
  <c r="I202" i="2"/>
  <c r="K202" i="2" s="1"/>
  <c r="L202" i="2" s="1"/>
  <c r="I203" i="2"/>
  <c r="K203" i="2" s="1"/>
  <c r="L203" i="2" s="1"/>
  <c r="I204" i="2"/>
  <c r="I205" i="2"/>
  <c r="I206" i="2"/>
  <c r="K206" i="2" s="1"/>
  <c r="L206" i="2" s="1"/>
  <c r="I207" i="2"/>
  <c r="I208" i="2"/>
  <c r="I209" i="2"/>
  <c r="K209" i="2" s="1"/>
  <c r="L209" i="2" s="1"/>
  <c r="I210" i="2"/>
  <c r="I211" i="2"/>
  <c r="K211" i="2" s="1"/>
  <c r="L211" i="2" s="1"/>
  <c r="I212" i="2"/>
  <c r="I213" i="2"/>
  <c r="I214" i="2"/>
  <c r="K214" i="2" s="1"/>
  <c r="L214" i="2" s="1"/>
  <c r="I215" i="2"/>
  <c r="I216" i="2"/>
  <c r="K216" i="2" s="1"/>
  <c r="L216" i="2" s="1"/>
  <c r="I217" i="2"/>
  <c r="K217" i="2" s="1"/>
  <c r="L217" i="2" s="1"/>
  <c r="I218" i="2"/>
  <c r="K218" i="2" s="1"/>
  <c r="L218" i="2" s="1"/>
  <c r="I219" i="2"/>
  <c r="K219" i="2" s="1"/>
  <c r="L219" i="2" s="1"/>
  <c r="I220" i="2"/>
  <c r="I221" i="2"/>
  <c r="I222" i="2"/>
  <c r="K222" i="2" s="1"/>
  <c r="L222" i="2" s="1"/>
  <c r="I223" i="2"/>
  <c r="I224" i="2"/>
  <c r="I225" i="2"/>
  <c r="K225" i="2" s="1"/>
  <c r="L225" i="2" s="1"/>
  <c r="I226" i="2"/>
  <c r="K226" i="2" s="1"/>
  <c r="L226" i="2" s="1"/>
  <c r="I227" i="2"/>
  <c r="K227" i="2" s="1"/>
  <c r="L227" i="2" s="1"/>
  <c r="I228" i="2"/>
  <c r="I229" i="2"/>
  <c r="I230" i="2"/>
  <c r="K230" i="2" s="1"/>
  <c r="L230" i="2" s="1"/>
  <c r="I231" i="2"/>
  <c r="I232" i="2"/>
  <c r="K232" i="2" s="1"/>
  <c r="L232" i="2" s="1"/>
  <c r="I233" i="2"/>
  <c r="K233" i="2" s="1"/>
  <c r="L233" i="2" s="1"/>
  <c r="I234" i="2"/>
  <c r="K234" i="2" s="1"/>
  <c r="L234" i="2" s="1"/>
  <c r="I235" i="2"/>
  <c r="K235" i="2" s="1"/>
  <c r="L235" i="2" s="1"/>
  <c r="I236" i="2"/>
  <c r="I237" i="2"/>
  <c r="I238" i="2"/>
  <c r="K238" i="2" s="1"/>
  <c r="L238" i="2" s="1"/>
  <c r="I239" i="2"/>
  <c r="I240" i="2"/>
  <c r="K240" i="2" s="1"/>
  <c r="L240" i="2" s="1"/>
  <c r="I241" i="2"/>
  <c r="K241" i="2" s="1"/>
  <c r="L241" i="2" s="1"/>
  <c r="I242" i="2"/>
  <c r="K242" i="2" s="1"/>
  <c r="L242" i="2" s="1"/>
  <c r="I243" i="2"/>
  <c r="K243" i="2" s="1"/>
  <c r="L243" i="2" s="1"/>
  <c r="I244" i="2"/>
  <c r="I245" i="2"/>
  <c r="I246" i="2"/>
  <c r="K246" i="2" s="1"/>
  <c r="L246" i="2" s="1"/>
  <c r="I247" i="2"/>
  <c r="I248" i="2"/>
  <c r="I249" i="2"/>
  <c r="K249" i="2" s="1"/>
  <c r="L249" i="2" s="1"/>
  <c r="I250" i="2"/>
  <c r="I251" i="2"/>
  <c r="K251" i="2" s="1"/>
  <c r="L251" i="2" s="1"/>
  <c r="I252" i="2"/>
  <c r="I253" i="2"/>
  <c r="I254" i="2"/>
  <c r="I255" i="2"/>
  <c r="I256" i="2"/>
  <c r="K256" i="2" s="1"/>
  <c r="L256" i="2" s="1"/>
  <c r="I257" i="2"/>
  <c r="K257" i="2" s="1"/>
  <c r="L257" i="2" s="1"/>
  <c r="I258" i="2"/>
  <c r="K258" i="2" s="1"/>
  <c r="L258" i="2" s="1"/>
  <c r="I259" i="2"/>
  <c r="K259" i="2" s="1"/>
  <c r="L259" i="2" s="1"/>
  <c r="I260" i="2"/>
  <c r="I261" i="2"/>
  <c r="I262" i="2"/>
  <c r="K262" i="2" s="1"/>
  <c r="L262" i="2" s="1"/>
  <c r="I263" i="2"/>
  <c r="I264" i="2"/>
  <c r="I265" i="2"/>
  <c r="K265" i="2" s="1"/>
  <c r="L265" i="2" s="1"/>
  <c r="I266" i="2"/>
  <c r="K266" i="2" s="1"/>
  <c r="L266" i="2" s="1"/>
  <c r="I267" i="2"/>
  <c r="K267" i="2" s="1"/>
  <c r="L267" i="2" s="1"/>
  <c r="I268" i="2"/>
  <c r="I269" i="2"/>
  <c r="I270" i="2"/>
  <c r="K270" i="2" s="1"/>
  <c r="L270" i="2" s="1"/>
  <c r="I271" i="2"/>
  <c r="I272" i="2"/>
  <c r="I273" i="2"/>
  <c r="K273" i="2" s="1"/>
  <c r="L273" i="2" s="1"/>
  <c r="I274" i="2"/>
  <c r="K274" i="2" s="1"/>
  <c r="L274" i="2" s="1"/>
  <c r="I275" i="2"/>
  <c r="K275" i="2" s="1"/>
  <c r="L275" i="2" s="1"/>
  <c r="I276" i="2"/>
  <c r="I277" i="2"/>
  <c r="I278" i="2"/>
  <c r="K278" i="2" s="1"/>
  <c r="L278" i="2" s="1"/>
  <c r="I279" i="2"/>
  <c r="I280" i="2"/>
  <c r="K280" i="2" s="1"/>
  <c r="L280" i="2" s="1"/>
  <c r="I281" i="2"/>
  <c r="K281" i="2" s="1"/>
  <c r="L281" i="2" s="1"/>
  <c r="I282" i="2"/>
  <c r="K282" i="2" s="1"/>
  <c r="L282" i="2" s="1"/>
  <c r="I283" i="2"/>
  <c r="K283" i="2" s="1"/>
  <c r="L283" i="2" s="1"/>
  <c r="I284" i="2"/>
  <c r="I285" i="2"/>
  <c r="I286" i="2"/>
  <c r="K286" i="2" s="1"/>
  <c r="L286" i="2" s="1"/>
  <c r="I287" i="2"/>
  <c r="I288" i="2"/>
  <c r="I289" i="2"/>
  <c r="K289" i="2" s="1"/>
  <c r="L289" i="2" s="1"/>
  <c r="I290" i="2"/>
  <c r="K290" i="2" s="1"/>
  <c r="L290" i="2" s="1"/>
  <c r="I291" i="2"/>
  <c r="K291" i="2" s="1"/>
  <c r="L291" i="2" s="1"/>
  <c r="I292" i="2"/>
  <c r="I293" i="2"/>
  <c r="I294" i="2"/>
  <c r="K294" i="2" s="1"/>
  <c r="L294" i="2" s="1"/>
  <c r="I295" i="2"/>
  <c r="I296" i="2"/>
  <c r="K296" i="2" s="1"/>
  <c r="L296" i="2" s="1"/>
  <c r="I297" i="2"/>
  <c r="K297" i="2" s="1"/>
  <c r="L297" i="2" s="1"/>
  <c r="I298" i="2"/>
  <c r="I299" i="2"/>
  <c r="K299" i="2" s="1"/>
  <c r="L299" i="2" s="1"/>
  <c r="I300" i="2"/>
  <c r="I301" i="2"/>
  <c r="I302" i="2"/>
  <c r="K302" i="2" s="1"/>
  <c r="L302" i="2" s="1"/>
  <c r="I303" i="2"/>
  <c r="I304" i="2"/>
  <c r="K304" i="2" s="1"/>
  <c r="L304" i="2" s="1"/>
  <c r="I305" i="2"/>
  <c r="K305" i="2" s="1"/>
  <c r="L305" i="2" s="1"/>
  <c r="I306" i="2"/>
  <c r="K306" i="2" s="1"/>
  <c r="L306" i="2" s="1"/>
  <c r="I307" i="2"/>
  <c r="K307" i="2" s="1"/>
  <c r="L307" i="2" s="1"/>
  <c r="I308" i="2"/>
  <c r="I309" i="2"/>
  <c r="I310" i="2"/>
  <c r="K310" i="2" s="1"/>
  <c r="L310" i="2" s="1"/>
  <c r="I311" i="2"/>
  <c r="I312" i="2"/>
  <c r="K312" i="2" s="1"/>
  <c r="L312" i="2" s="1"/>
  <c r="I313" i="2"/>
  <c r="K313" i="2" s="1"/>
  <c r="L313" i="2" s="1"/>
  <c r="I314" i="2"/>
  <c r="I315" i="2"/>
  <c r="K315" i="2" s="1"/>
  <c r="L315" i="2" s="1"/>
  <c r="I316" i="2"/>
  <c r="I317" i="2"/>
  <c r="I318" i="2"/>
  <c r="K318" i="2" s="1"/>
  <c r="L318" i="2" s="1"/>
  <c r="I319" i="2"/>
  <c r="I320" i="2"/>
  <c r="I321" i="2"/>
  <c r="K321" i="2" s="1"/>
  <c r="L321" i="2" s="1"/>
  <c r="I322" i="2"/>
  <c r="K322" i="2" s="1"/>
  <c r="L322" i="2" s="1"/>
  <c r="I323" i="2"/>
  <c r="K323" i="2" s="1"/>
  <c r="L323" i="2" s="1"/>
  <c r="I324" i="2"/>
  <c r="I325" i="2"/>
  <c r="I326" i="2"/>
  <c r="K326" i="2" s="1"/>
  <c r="L326" i="2" s="1"/>
  <c r="I327" i="2"/>
  <c r="I328" i="2"/>
  <c r="I329" i="2"/>
  <c r="K329" i="2" s="1"/>
  <c r="L329" i="2" s="1"/>
  <c r="I330" i="2"/>
  <c r="K330" i="2" s="1"/>
  <c r="L330" i="2" s="1"/>
  <c r="I331" i="2"/>
  <c r="K331" i="2" s="1"/>
  <c r="L331" i="2" s="1"/>
  <c r="I332" i="2"/>
  <c r="I333" i="2"/>
  <c r="I334" i="2"/>
  <c r="K334" i="2" s="1"/>
  <c r="L334" i="2" s="1"/>
  <c r="I335" i="2"/>
  <c r="I336" i="2"/>
  <c r="K336" i="2" s="1"/>
  <c r="L336" i="2" s="1"/>
  <c r="I337" i="2"/>
  <c r="K337" i="2" s="1"/>
  <c r="L337" i="2" s="1"/>
  <c r="I338" i="2"/>
  <c r="I339" i="2"/>
  <c r="K339" i="2" s="1"/>
  <c r="L339" i="2" s="1"/>
  <c r="I340" i="2"/>
  <c r="I341" i="2"/>
  <c r="I342" i="2"/>
  <c r="K342" i="2" s="1"/>
  <c r="L342" i="2" s="1"/>
  <c r="I343" i="2"/>
  <c r="I344" i="2"/>
  <c r="I345" i="2"/>
  <c r="K345" i="2" s="1"/>
  <c r="L345" i="2" s="1"/>
  <c r="I346" i="2"/>
  <c r="K346" i="2" s="1"/>
  <c r="L346" i="2" s="1"/>
  <c r="I2" i="2"/>
  <c r="K2" i="2" s="1"/>
  <c r="L2" i="2" s="1"/>
  <c r="K3" i="2"/>
  <c r="L3" i="2" s="1"/>
  <c r="K4" i="2"/>
  <c r="L4" i="2" s="1"/>
  <c r="K5" i="2"/>
  <c r="L5" i="2" s="1"/>
  <c r="K6" i="2"/>
  <c r="L6" i="2" s="1"/>
  <c r="K7" i="2"/>
  <c r="L7" i="2" s="1"/>
  <c r="K8" i="2"/>
  <c r="L8" i="2" s="1"/>
  <c r="K12" i="2"/>
  <c r="L12" i="2" s="1"/>
  <c r="K13" i="2"/>
  <c r="L13" i="2" s="1"/>
  <c r="K14" i="2"/>
  <c r="L14" i="2" s="1"/>
  <c r="K15" i="2"/>
  <c r="L15" i="2" s="1"/>
  <c r="K16" i="2"/>
  <c r="L16" i="2" s="1"/>
  <c r="K18" i="2"/>
  <c r="L18" i="2" s="1"/>
  <c r="K20" i="2"/>
  <c r="L20" i="2" s="1"/>
  <c r="K21" i="2"/>
  <c r="L21" i="2" s="1"/>
  <c r="K23" i="2"/>
  <c r="L23" i="2" s="1"/>
  <c r="K24" i="2"/>
  <c r="L24" i="2" s="1"/>
  <c r="K27" i="2"/>
  <c r="L27" i="2" s="1"/>
  <c r="K28" i="2"/>
  <c r="L28" i="2" s="1"/>
  <c r="K29" i="2"/>
  <c r="L29" i="2" s="1"/>
  <c r="K30" i="2"/>
  <c r="L30" i="2" s="1"/>
  <c r="K31" i="2"/>
  <c r="L31" i="2" s="1"/>
  <c r="K32" i="2"/>
  <c r="L32" i="2" s="1"/>
  <c r="K36" i="2"/>
  <c r="L36" i="2" s="1"/>
  <c r="K37" i="2"/>
  <c r="L37" i="2" s="1"/>
  <c r="K39" i="2"/>
  <c r="L39" i="2" s="1"/>
  <c r="K40" i="2"/>
  <c r="L40" i="2" s="1"/>
  <c r="K42" i="2"/>
  <c r="L42" i="2" s="1"/>
  <c r="K43" i="2"/>
  <c r="L43" i="2" s="1"/>
  <c r="K44" i="2"/>
  <c r="L44" i="2" s="1"/>
  <c r="K45" i="2"/>
  <c r="L45" i="2" s="1"/>
  <c r="K47" i="2"/>
  <c r="L47" i="2" s="1"/>
  <c r="K48" i="2"/>
  <c r="L48" i="2" s="1"/>
  <c r="K51" i="2"/>
  <c r="L51" i="2" s="1"/>
  <c r="K52" i="2"/>
  <c r="L52" i="2" s="1"/>
  <c r="K53" i="2"/>
  <c r="L53" i="2" s="1"/>
  <c r="K54" i="2"/>
  <c r="L54" i="2" s="1"/>
  <c r="K55" i="2"/>
  <c r="L55" i="2" s="1"/>
  <c r="K56" i="2"/>
  <c r="L56" i="2" s="1"/>
  <c r="K60" i="2"/>
  <c r="L60" i="2" s="1"/>
  <c r="K61" i="2"/>
  <c r="L61" i="2" s="1"/>
  <c r="K63" i="2"/>
  <c r="L63" i="2" s="1"/>
  <c r="K64" i="2"/>
  <c r="L64" i="2" s="1"/>
  <c r="K67" i="2"/>
  <c r="L67" i="2" s="1"/>
  <c r="K68" i="2"/>
  <c r="L68" i="2" s="1"/>
  <c r="K69" i="2"/>
  <c r="L69" i="2" s="1"/>
  <c r="K70" i="2"/>
  <c r="L70" i="2" s="1"/>
  <c r="K71" i="2"/>
  <c r="L71" i="2" s="1"/>
  <c r="K74" i="2"/>
  <c r="L74" i="2" s="1"/>
  <c r="K76" i="2"/>
  <c r="L76" i="2" s="1"/>
  <c r="K77" i="2"/>
  <c r="L77" i="2" s="1"/>
  <c r="K78" i="2"/>
  <c r="L78" i="2" s="1"/>
  <c r="K79" i="2"/>
  <c r="L79" i="2" s="1"/>
  <c r="K84" i="2"/>
  <c r="L84" i="2" s="1"/>
  <c r="K85" i="2"/>
  <c r="L85" i="2" s="1"/>
  <c r="K87" i="2"/>
  <c r="L87" i="2" s="1"/>
  <c r="K88" i="2"/>
  <c r="L88" i="2" s="1"/>
  <c r="K91" i="2"/>
  <c r="L91" i="2" s="1"/>
  <c r="K92" i="2"/>
  <c r="L92" i="2" s="1"/>
  <c r="K93" i="2"/>
  <c r="L93" i="2" s="1"/>
  <c r="K95" i="2"/>
  <c r="L95" i="2" s="1"/>
  <c r="K96" i="2"/>
  <c r="L96" i="2" s="1"/>
  <c r="K98" i="2"/>
  <c r="L98" i="2" s="1"/>
  <c r="K99" i="2"/>
  <c r="L99" i="2" s="1"/>
  <c r="K100" i="2"/>
  <c r="L100" i="2" s="1"/>
  <c r="K101" i="2"/>
  <c r="L101" i="2" s="1"/>
  <c r="K102" i="2"/>
  <c r="L102" i="2" s="1"/>
  <c r="K103" i="2"/>
  <c r="L103" i="2" s="1"/>
  <c r="K104" i="2"/>
  <c r="L104" i="2" s="1"/>
  <c r="K106" i="2"/>
  <c r="L106" i="2" s="1"/>
  <c r="K108" i="2"/>
  <c r="L108" i="2" s="1"/>
  <c r="K109" i="2"/>
  <c r="L109" i="2" s="1"/>
  <c r="K111" i="2"/>
  <c r="L111" i="2" s="1"/>
  <c r="K112" i="2"/>
  <c r="L112" i="2" s="1"/>
  <c r="K115" i="2"/>
  <c r="L115" i="2" s="1"/>
  <c r="K116" i="2"/>
  <c r="L116" i="2" s="1"/>
  <c r="K117" i="2"/>
  <c r="L117" i="2" s="1"/>
  <c r="K118" i="2"/>
  <c r="L118" i="2" s="1"/>
  <c r="K119" i="2"/>
  <c r="L119" i="2" s="1"/>
  <c r="K120" i="2"/>
  <c r="L120" i="2" s="1"/>
  <c r="K124" i="2"/>
  <c r="L124" i="2" s="1"/>
  <c r="K125" i="2"/>
  <c r="L125" i="2" s="1"/>
  <c r="K126" i="2"/>
  <c r="L126" i="2" s="1"/>
  <c r="K127" i="2"/>
  <c r="L127" i="2" s="1"/>
  <c r="K130" i="2"/>
  <c r="L130" i="2" s="1"/>
  <c r="K132" i="2"/>
  <c r="L132" i="2" s="1"/>
  <c r="K133" i="2"/>
  <c r="L133" i="2" s="1"/>
  <c r="K135" i="2"/>
  <c r="L135" i="2" s="1"/>
  <c r="K136" i="2"/>
  <c r="L136" i="2" s="1"/>
  <c r="K139" i="2"/>
  <c r="L139" i="2" s="1"/>
  <c r="K140" i="2"/>
  <c r="L140" i="2" s="1"/>
  <c r="K141" i="2"/>
  <c r="L141" i="2" s="1"/>
  <c r="K143" i="2"/>
  <c r="L143" i="2" s="1"/>
  <c r="K144" i="2"/>
  <c r="L144" i="2" s="1"/>
  <c r="K148" i="2"/>
  <c r="L148" i="2" s="1"/>
  <c r="K149" i="2"/>
  <c r="L149" i="2" s="1"/>
  <c r="K151" i="2"/>
  <c r="L151" i="2" s="1"/>
  <c r="K152" i="2"/>
  <c r="L152" i="2" s="1"/>
  <c r="K156" i="2"/>
  <c r="L156" i="2" s="1"/>
  <c r="K157" i="2"/>
  <c r="L157" i="2" s="1"/>
  <c r="K159" i="2"/>
  <c r="L159" i="2" s="1"/>
  <c r="K160" i="2"/>
  <c r="L160" i="2" s="1"/>
  <c r="K163" i="2"/>
  <c r="L163" i="2" s="1"/>
  <c r="K164" i="2"/>
  <c r="L164" i="2" s="1"/>
  <c r="K165" i="2"/>
  <c r="L165" i="2" s="1"/>
  <c r="K167" i="2"/>
  <c r="L167" i="2" s="1"/>
  <c r="K172" i="2"/>
  <c r="L172" i="2" s="1"/>
  <c r="K173" i="2"/>
  <c r="L173" i="2" s="1"/>
  <c r="K175" i="2"/>
  <c r="L175" i="2" s="1"/>
  <c r="K178" i="2"/>
  <c r="L178" i="2" s="1"/>
  <c r="K180" i="2"/>
  <c r="L180" i="2" s="1"/>
  <c r="K181" i="2"/>
  <c r="L181" i="2" s="1"/>
  <c r="K183" i="2"/>
  <c r="L183" i="2" s="1"/>
  <c r="K184" i="2"/>
  <c r="L184" i="2" s="1"/>
  <c r="K186" i="2"/>
  <c r="L186" i="2" s="1"/>
  <c r="K188" i="2"/>
  <c r="L188" i="2" s="1"/>
  <c r="K189" i="2"/>
  <c r="L189" i="2" s="1"/>
  <c r="K191" i="2"/>
  <c r="L191" i="2" s="1"/>
  <c r="K196" i="2"/>
  <c r="L196" i="2" s="1"/>
  <c r="K197" i="2"/>
  <c r="L197" i="2" s="1"/>
  <c r="K199" i="2"/>
  <c r="L199" i="2" s="1"/>
  <c r="K200" i="2"/>
  <c r="L200" i="2" s="1"/>
  <c r="K204" i="2"/>
  <c r="L204" i="2" s="1"/>
  <c r="K205" i="2"/>
  <c r="L205" i="2" s="1"/>
  <c r="K207" i="2"/>
  <c r="L207" i="2" s="1"/>
  <c r="K208" i="2"/>
  <c r="L208" i="2" s="1"/>
  <c r="K210" i="2"/>
  <c r="L210" i="2" s="1"/>
  <c r="K212" i="2"/>
  <c r="L212" i="2" s="1"/>
  <c r="K213" i="2"/>
  <c r="L213" i="2" s="1"/>
  <c r="K215" i="2"/>
  <c r="L215" i="2" s="1"/>
  <c r="K220" i="2"/>
  <c r="L220" i="2" s="1"/>
  <c r="K221" i="2"/>
  <c r="L221" i="2" s="1"/>
  <c r="K223" i="2"/>
  <c r="L223" i="2" s="1"/>
  <c r="K224" i="2"/>
  <c r="L224" i="2" s="1"/>
  <c r="K228" i="2"/>
  <c r="L228" i="2" s="1"/>
  <c r="K229" i="2"/>
  <c r="L229" i="2" s="1"/>
  <c r="K231" i="2"/>
  <c r="L231" i="2" s="1"/>
  <c r="K236" i="2"/>
  <c r="L236" i="2" s="1"/>
  <c r="K237" i="2"/>
  <c r="L237" i="2" s="1"/>
  <c r="K239" i="2"/>
  <c r="L239" i="2" s="1"/>
  <c r="K244" i="2"/>
  <c r="L244" i="2" s="1"/>
  <c r="K245" i="2"/>
  <c r="L245" i="2" s="1"/>
  <c r="K247" i="2"/>
  <c r="L247" i="2" s="1"/>
  <c r="K248" i="2"/>
  <c r="L248" i="2" s="1"/>
  <c r="K250" i="2"/>
  <c r="L250" i="2" s="1"/>
  <c r="K252" i="2"/>
  <c r="L252" i="2" s="1"/>
  <c r="K253" i="2"/>
  <c r="L253" i="2" s="1"/>
  <c r="K254" i="2"/>
  <c r="L254" i="2" s="1"/>
  <c r="K255" i="2"/>
  <c r="L255" i="2" s="1"/>
  <c r="K260" i="2"/>
  <c r="L260" i="2" s="1"/>
  <c r="K261" i="2"/>
  <c r="L261" i="2" s="1"/>
  <c r="K263" i="2"/>
  <c r="L263" i="2" s="1"/>
  <c r="K264" i="2"/>
  <c r="L264" i="2" s="1"/>
  <c r="K268" i="2"/>
  <c r="L268" i="2" s="1"/>
  <c r="K269" i="2"/>
  <c r="L269" i="2" s="1"/>
  <c r="K271" i="2"/>
  <c r="L271" i="2" s="1"/>
  <c r="K272" i="2"/>
  <c r="L272" i="2" s="1"/>
  <c r="K276" i="2"/>
  <c r="L276" i="2" s="1"/>
  <c r="K277" i="2"/>
  <c r="L277" i="2" s="1"/>
  <c r="K279" i="2"/>
  <c r="L279" i="2" s="1"/>
  <c r="K284" i="2"/>
  <c r="L284" i="2" s="1"/>
  <c r="K285" i="2"/>
  <c r="L285" i="2" s="1"/>
  <c r="K287" i="2"/>
  <c r="L287" i="2" s="1"/>
  <c r="K288" i="2"/>
  <c r="L288" i="2" s="1"/>
  <c r="K292" i="2"/>
  <c r="L292" i="2" s="1"/>
  <c r="K293" i="2"/>
  <c r="L293" i="2" s="1"/>
  <c r="K295" i="2"/>
  <c r="L295" i="2" s="1"/>
  <c r="K298" i="2"/>
  <c r="L298" i="2" s="1"/>
  <c r="K300" i="2"/>
  <c r="L300" i="2" s="1"/>
  <c r="K301" i="2"/>
  <c r="L301" i="2" s="1"/>
  <c r="K303" i="2"/>
  <c r="L303" i="2" s="1"/>
  <c r="K308" i="2"/>
  <c r="L308" i="2" s="1"/>
  <c r="K309" i="2"/>
  <c r="L309" i="2" s="1"/>
  <c r="K311" i="2"/>
  <c r="L311" i="2" s="1"/>
  <c r="K314" i="2"/>
  <c r="L314" i="2" s="1"/>
  <c r="K316" i="2"/>
  <c r="L316" i="2" s="1"/>
  <c r="K317" i="2"/>
  <c r="L317" i="2" s="1"/>
  <c r="K319" i="2"/>
  <c r="L319" i="2" s="1"/>
  <c r="K320" i="2"/>
  <c r="L320" i="2" s="1"/>
  <c r="K324" i="2"/>
  <c r="L324" i="2" s="1"/>
  <c r="K325" i="2"/>
  <c r="L325" i="2" s="1"/>
  <c r="K327" i="2"/>
  <c r="L327" i="2" s="1"/>
  <c r="K328" i="2"/>
  <c r="L328" i="2" s="1"/>
  <c r="K332" i="2"/>
  <c r="L332" i="2" s="1"/>
  <c r="K333" i="2"/>
  <c r="L333" i="2" s="1"/>
  <c r="K335" i="2"/>
  <c r="L335" i="2" s="1"/>
  <c r="K338" i="2"/>
  <c r="L338" i="2" s="1"/>
  <c r="K340" i="2"/>
  <c r="L340" i="2" s="1"/>
  <c r="K341" i="2"/>
  <c r="L341" i="2" s="1"/>
  <c r="K343" i="2"/>
  <c r="L343" i="2" s="1"/>
  <c r="K344" i="2"/>
  <c r="L344" i="2" s="1"/>
</calcChain>
</file>

<file path=xl/sharedStrings.xml><?xml version="1.0" encoding="utf-8"?>
<sst xmlns="http://schemas.openxmlformats.org/spreadsheetml/2006/main" count="1261" uniqueCount="145">
  <si>
    <t>FECHA</t>
  </si>
  <si>
    <t>TARJETAHABIENTE</t>
  </si>
  <si>
    <t>PRODUCTO</t>
  </si>
  <si>
    <t>TARJETA</t>
  </si>
  <si>
    <t>CANTIDAD</t>
  </si>
  <si>
    <t>MONTO</t>
  </si>
  <si>
    <t>IMPUESTO</t>
  </si>
  <si>
    <t>TOTAL</t>
  </si>
  <si>
    <t>MARIANO RECIO</t>
  </si>
  <si>
    <t>DIESEL REGULAR</t>
  </si>
  <si>
    <t>1001972149023521</t>
  </si>
  <si>
    <t>DIESEL V-POWER</t>
  </si>
  <si>
    <t>TITO TEJADA</t>
  </si>
  <si>
    <t>GASOLINA V-POWER</t>
  </si>
  <si>
    <t>1001253715754879</t>
  </si>
  <si>
    <t>ABRAHAM MARTINEZ</t>
  </si>
  <si>
    <t>1001988259892902</t>
  </si>
  <si>
    <t>LOPEZ L. DISTRIBUCION SRL</t>
  </si>
  <si>
    <t>1001745959423967</t>
  </si>
  <si>
    <t>JUAN A. ALBERTO P.</t>
  </si>
  <si>
    <t>1001112694930630</t>
  </si>
  <si>
    <t>GASOLINA REGULAR</t>
  </si>
  <si>
    <t>CARLOS FLAQUER</t>
  </si>
  <si>
    <t>1001219129392324</t>
  </si>
  <si>
    <t>MIGUEL GARRIDO</t>
  </si>
  <si>
    <t>1001223688600340</t>
  </si>
  <si>
    <t>KATHERINE E. BATISTA C.</t>
  </si>
  <si>
    <t>1001266869900130</t>
  </si>
  <si>
    <t>MIGUEL A. RAMIREZ A.</t>
  </si>
  <si>
    <t>1001278957822341</t>
  </si>
  <si>
    <t>JOSE R. VILLANUEVA</t>
  </si>
  <si>
    <t>1001320894724083</t>
  </si>
  <si>
    <t>ANGEL TERRERO</t>
  </si>
  <si>
    <t>1001358646580732</t>
  </si>
  <si>
    <t>GEORGE W. GUERRERO</t>
  </si>
  <si>
    <t>1001459944150141</t>
  </si>
  <si>
    <t>JOAN L. ALMONTE T.</t>
  </si>
  <si>
    <t>1001596866031163</t>
  </si>
  <si>
    <t>TRANSPORTE A R W SRL</t>
  </si>
  <si>
    <t>1001670014520862</t>
  </si>
  <si>
    <t>KELVIN ACOSTA</t>
  </si>
  <si>
    <t>1001764343245400</t>
  </si>
  <si>
    <t>FLORENTINO GUZMAN</t>
  </si>
  <si>
    <t>1001812017798789</t>
  </si>
  <si>
    <t>MIGUEL A. MARTINEZ</t>
  </si>
  <si>
    <t>1001943191424498</t>
  </si>
  <si>
    <t>JARH LOGISTICS &amp; TRANSP. SRL</t>
  </si>
  <si>
    <t>1001956158605955</t>
  </si>
  <si>
    <t>SANDY A. FERRERAS F.</t>
  </si>
  <si>
    <t>1001158242073113</t>
  </si>
  <si>
    <t>ENMANUEL HICIANDO F.</t>
  </si>
  <si>
    <t>1001243483266022</t>
  </si>
  <si>
    <t>MANUEL A. MALDONADO N.</t>
  </si>
  <si>
    <t>1001288367533385</t>
  </si>
  <si>
    <t>ALVARO S. SANTANA T.</t>
  </si>
  <si>
    <t>1001297963623275</t>
  </si>
  <si>
    <t>ARACELYS CUEVAS R.</t>
  </si>
  <si>
    <t>1001307890061157</t>
  </si>
  <si>
    <t>JHONNY JIMENEZ</t>
  </si>
  <si>
    <t>1001331154220017</t>
  </si>
  <si>
    <t>PABLO BAUTISTA B.</t>
  </si>
  <si>
    <t>1001351712773646</t>
  </si>
  <si>
    <t>WANDER A. GARCIA</t>
  </si>
  <si>
    <t>1001407844485295</t>
  </si>
  <si>
    <t>MTDL MULTISERVICIOS SRL</t>
  </si>
  <si>
    <t>1001411230817101</t>
  </si>
  <si>
    <t>YOENNY PINALES</t>
  </si>
  <si>
    <t>1001434255260594</t>
  </si>
  <si>
    <t>JOSE M. REYNOSO D.</t>
  </si>
  <si>
    <t>1001446626686763</t>
  </si>
  <si>
    <t>RUBEN D. SANCHEZ O.</t>
  </si>
  <si>
    <t>1001454555771212</t>
  </si>
  <si>
    <t>SANCHEZ ANG TRANSPORTACION SRL</t>
  </si>
  <si>
    <t>1001516111113521</t>
  </si>
  <si>
    <t>ENYI JIMENEZ C.</t>
  </si>
  <si>
    <t>1001516992877256</t>
  </si>
  <si>
    <t>JOSUE A. MAZARA E.</t>
  </si>
  <si>
    <t>1001518237599321</t>
  </si>
  <si>
    <t>NOKE HENRIQUEZ S.</t>
  </si>
  <si>
    <t>1001635955908637</t>
  </si>
  <si>
    <t>RAMON L. VERAS M.</t>
  </si>
  <si>
    <t>1001704632012901</t>
  </si>
  <si>
    <t>LEANDRO ALMONTE</t>
  </si>
  <si>
    <t>1001887180359158</t>
  </si>
  <si>
    <t>ERNESTO J. MEDRANO P.</t>
  </si>
  <si>
    <t>1001100413367911</t>
  </si>
  <si>
    <t>BRAYAN J. FRANCISCO</t>
  </si>
  <si>
    <t>1001193389712803</t>
  </si>
  <si>
    <t>DANIEL I. LLANO M.</t>
  </si>
  <si>
    <t>1001259324040179</t>
  </si>
  <si>
    <t>PEDRO BRITO B.</t>
  </si>
  <si>
    <t>1001286375381068</t>
  </si>
  <si>
    <t>ELUPINA M. HERNANDEZ M.</t>
  </si>
  <si>
    <t>1001320311193243</t>
  </si>
  <si>
    <t>ALEX R. ESTRADA T.</t>
  </si>
  <si>
    <t>1001355962899410</t>
  </si>
  <si>
    <t>DIESEL OPTIMO</t>
  </si>
  <si>
    <t>TRANSP. Y GRUA TRANPSELITE</t>
  </si>
  <si>
    <t>1001459885029625</t>
  </si>
  <si>
    <t>YEISON A. ALMANZAR R.</t>
  </si>
  <si>
    <t>1001501562211180</t>
  </si>
  <si>
    <t>ARIEL BALDERA R.</t>
  </si>
  <si>
    <t>1001623730819706</t>
  </si>
  <si>
    <t>EDWIN A. CABRERA P.</t>
  </si>
  <si>
    <t>GASOLINA PREMIUM</t>
  </si>
  <si>
    <t>1001635369369542</t>
  </si>
  <si>
    <t>JAVIER MARCIAL I.</t>
  </si>
  <si>
    <t>1001648278339195</t>
  </si>
  <si>
    <t>NELSON M. HENRIQUEZ M.</t>
  </si>
  <si>
    <t>1001666971382528</t>
  </si>
  <si>
    <t>FELIPE COTES R.</t>
  </si>
  <si>
    <t>1001726383544932</t>
  </si>
  <si>
    <t>MARTIN DE J. HERNANDEZ Z.</t>
  </si>
  <si>
    <t>1001844930199873</t>
  </si>
  <si>
    <t>ELVIN ARIAS R.</t>
  </si>
  <si>
    <t>1001885020064907</t>
  </si>
  <si>
    <t>HANLET M. MATEO V.</t>
  </si>
  <si>
    <t>1001916957389929</t>
  </si>
  <si>
    <t>LYP DRAYEGE LOGISTICS LPDL</t>
  </si>
  <si>
    <t>1001923524518570</t>
  </si>
  <si>
    <t>PRECIO GALON SHELL</t>
  </si>
  <si>
    <t>DESCUENTO</t>
  </si>
  <si>
    <t>PRECIO DE GALON - DESCUENTO</t>
  </si>
  <si>
    <t>TOTAL CON DESCUENTO</t>
  </si>
  <si>
    <t>Etiquetas de fila</t>
  </si>
  <si>
    <t>Total general</t>
  </si>
  <si>
    <t>12/16/2024</t>
  </si>
  <si>
    <t>12/21/2024</t>
  </si>
  <si>
    <t>12/28/2024</t>
  </si>
  <si>
    <t>12/27/2024</t>
  </si>
  <si>
    <t>12/31/2024</t>
  </si>
  <si>
    <t>12/13/2024</t>
  </si>
  <si>
    <t>12/26/2024</t>
  </si>
  <si>
    <t>12/14/2024</t>
  </si>
  <si>
    <t>12/17/2024</t>
  </si>
  <si>
    <t>12/20/2024</t>
  </si>
  <si>
    <t>12/23/2024</t>
  </si>
  <si>
    <t>12/30/2024</t>
  </si>
  <si>
    <t>12/18/2024</t>
  </si>
  <si>
    <t>12/29/2024</t>
  </si>
  <si>
    <t>12/19/2024</t>
  </si>
  <si>
    <t>12/15/2024</t>
  </si>
  <si>
    <t>12/22/2024</t>
  </si>
  <si>
    <t>12/25/2024</t>
  </si>
  <si>
    <t>12/24/2024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</si>
</sst>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 vertical="center" wrapText="1"/>
    </xf>
    <xf numFmtId="8" fontId="0" fillId="0" borderId="0" xfId="0" applyNumberFormat="1"/>
    <xf numFmtId="49" fontId="0" fillId="0" borderId="0" xfId="0" applyNumberFormat="1" applyAlignment="1">
      <alignment horizontal="center" vertical="center" wrapText="1"/>
    </xf>
    <xf numFmtId="8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6" fillId="33" borderId="0" xfId="0" applyFont="1" applyFill="1" applyAlignment="1">
      <alignment horizontal="center" vertical="center" wrapText="1"/>
    </xf>
    <xf numFmtId="0" fontId="16" fillId="34" borderId="0" xfId="0" applyFont="1" applyFill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left"/>
    </xf>
    <xf numFmtId="8" fontId="16" fillId="35" borderId="0" xfId="0" applyNumberFormat="1" applyFont="1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vin Abraham Velazquez Marte" refreshedDate="45665.623280902779" createdVersion="8" refreshedVersion="8" minRefreshableVersion="3" recordCount="345" xr:uid="{4853D015-2B21-422A-90B3-4A389C9BDA6F}">
  <cacheSource type="worksheet">
    <worksheetSource ref="A1:L346" sheet="PLANTILLA"/>
  </cacheSource>
  <cacheFields count="12">
    <cacheField name="FECHA" numFmtId="14">
      <sharedItems containsNonDate="0" containsDate="1" containsMixedTypes="1" minDate="2024-01-12T00:00:00" maxDate="2024-12-13T00:00:00" count="376">
        <d v="2024-03-12T00:00:00"/>
        <d v="2024-07-12T00:00:00"/>
        <d v="2024-11-12T00:00:00"/>
        <s v="12/16/2024"/>
        <s v="12/21/2024"/>
        <s v="12/28/2024"/>
        <s v="12/27/2024"/>
        <s v="12/31/2024"/>
        <d v="2024-02-12T00:00:00"/>
        <d v="2024-04-12T00:00:00"/>
        <d v="2024-05-12T00:00:00"/>
        <d v="2024-08-12T00:00:00"/>
        <d v="2024-12-12T00:00:00"/>
        <s v="12/13/2024"/>
        <s v="12/26/2024"/>
        <d v="2024-09-12T00:00:00"/>
        <d v="2024-10-12T00:00:00"/>
        <s v="12/14/2024"/>
        <s v="12/17/2024"/>
        <s v="12/20/2024"/>
        <s v="12/23/2024"/>
        <s v="12/30/2024"/>
        <d v="2024-06-12T00:00:00"/>
        <s v="12/18/2024"/>
        <s v="12/29/2024"/>
        <s v="12/19/2024"/>
        <d v="2024-01-12T00:00:00"/>
        <s v="12/15/2024"/>
        <s v="12/22/2024"/>
        <s v="12/25/2024"/>
        <s v="12/24/2024"/>
        <d v="2024-03-12T08:48:06" u="1"/>
        <d v="2024-07-12T08:16:58" u="1"/>
        <d v="2024-11-12T08:49:18" u="1"/>
        <s v="12/16/2024 8:29:28 AM" u="1"/>
        <s v="12/21/2024 6:51:17 AM" u="1"/>
        <s v="12/28/2024 2:42:39 PM" u="1"/>
        <s v="12/27/2024 2:24:31 PM" u="1"/>
        <s v="12/31/2024 4:50:16 PM" u="1"/>
        <s v="12/31/2024 5:41:22 PM" u="1"/>
        <s v="12/31/2024 6:27:19 PM" u="1"/>
        <s v="12/31/2024 6:42:39 PM" u="1"/>
        <d v="2024-02-12T15:16:39" u="1"/>
        <d v="2024-03-12T14:17:43" u="1"/>
        <d v="2024-04-12T16:12:26" u="1"/>
        <d v="2024-05-12T14:43:41" u="1"/>
        <d v="2024-07-12T16:20:33" u="1"/>
        <d v="2024-07-12T19:36:27" u="1"/>
        <d v="2024-07-12T20:07:36" u="1"/>
        <d v="2024-07-12T20:20:22" u="1"/>
        <d v="2024-08-12T12:48:20" u="1"/>
        <d v="2024-08-12T19:54:57" u="1"/>
        <d v="2024-08-12T20:21:56" u="1"/>
        <d v="2024-11-12T21:53:33" u="1"/>
        <d v="2024-11-12T22:03:40" u="1"/>
        <d v="2024-12-12T10:43:28" u="1"/>
        <d v="2024-12-12T12:49:19" u="1"/>
        <d v="2024-12-12T14:54:46" u="1"/>
        <d v="2024-12-12T15:47:19" u="1"/>
        <d v="2024-12-12T18:18:05" u="1"/>
        <s v="12/13/2024 5:58:18 AM" u="1"/>
        <s v="12/13/2024 10:45:23 AM" u="1"/>
        <s v="12/26/2024 7:12:33 PM" u="1"/>
        <s v="12/26/2024 7:35:20 PM" u="1"/>
        <s v="12/27/2024 11:41:48 AM" u="1"/>
        <s v="12/27/2024 7:55:34 PM" u="1"/>
        <s v="12/27/2024 8:05:24 PM" u="1"/>
        <d v="2024-09-12T13:38:02" u="1"/>
        <d v="2024-10-12T18:05:32" u="1"/>
        <d v="2024-11-12T11:38:08" u="1"/>
        <d v="2024-12-12T16:04:45" u="1"/>
        <s v="12/14/2024 9:40:53 AM" u="1"/>
        <s v="12/17/2024 2:34:08 PM" u="1"/>
        <s v="12/20/2024 5:00:46 PM" u="1"/>
        <s v="12/23/2024 4:54:06 PM" u="1"/>
        <s v="12/27/2024 4:53:55 AM" u="1"/>
        <s v="12/28/2024 6:21:10 AM" u="1"/>
        <s v="12/28/2024 10:35:56 AM" u="1"/>
        <s v="12/30/2024 11:35:51 AM" u="1"/>
        <d v="2024-03-12T13:13:52" u="1"/>
        <d v="2024-04-12T19:32:18" u="1"/>
        <d v="2024-04-12T19:38:47" u="1"/>
        <d v="2024-04-12T19:45:19" u="1"/>
        <s v="12/27/2024 12:34:41 PM" u="1"/>
        <s v="12/30/2024 9:05:01 PM" u="1"/>
        <s v="12/13/2024 11:48:09 AM" u="1"/>
        <s v="12/13/2024 5:28:19 PM" u="1"/>
        <s v="12/13/2024 5:38:02 PM" u="1"/>
        <s v="12/13/2024 5:44:03 PM" u="1"/>
        <s v="12/13/2024 5:51:25 PM" u="1"/>
        <s v="12/13/2024 7:55:16 PM" u="1"/>
        <s v="12/17/2024 6:34:13 PM" u="1"/>
        <d v="2024-03-12T21:21:16" u="1"/>
        <d v="2024-08-12T09:27:20" u="1"/>
        <d v="2024-12-12T21:42:48" u="1"/>
        <d v="2024-05-12T11:17:54" u="1"/>
        <d v="2024-06-12T08:45:52" u="1"/>
        <d v="2024-03-12T07:44:14" u="1"/>
        <d v="2024-10-12T09:54:25" u="1"/>
        <d v="2024-04-12T19:15:49" u="1"/>
        <d v="2024-11-12T11:00:23" u="1"/>
        <d v="2024-06-12T09:23:22" u="1"/>
        <s v="12/13/2024 9:13:11 AM" u="1"/>
        <s v="12/18/2024 10:20:06 AM" u="1"/>
        <s v="12/23/2024 4:48:29 PM" u="1"/>
        <s v="12/27/2024 11:18:05 AM" u="1"/>
        <s v="12/29/2024 10:05:55 AM" u="1"/>
        <d v="2024-10-12T08:25:13" u="1"/>
        <d v="2024-03-12T11:26:26" u="1"/>
        <d v="2024-07-12T12:27:15" u="1"/>
        <d v="2024-04-12T10:50:37" u="1"/>
        <d v="2024-10-12T07:58:51" u="1"/>
        <d v="2024-03-12T18:34:06" u="1"/>
        <s v="12/13/2024 8:23:13 AM" u="1"/>
        <s v="12/30/2024 6:38:09 AM" u="1"/>
        <s v="12/30/2024 8:52:53 AM" u="1"/>
        <d v="2024-02-12T06:30:51" u="1"/>
        <d v="2024-03-12T20:11:09" u="1"/>
        <d v="2024-05-12T20:12:15" u="1"/>
        <d v="2024-06-12T20:00:47" u="1"/>
        <d v="2024-09-12T12:13:37" u="1"/>
        <d v="2024-10-12T20:21:38" u="1"/>
        <d v="2024-11-12T20:28:01" u="1"/>
        <d v="2024-12-12T20:31:10" u="1"/>
        <s v="12/13/2024 8:09:29 PM" u="1"/>
        <s v="12/16/2024 8:56:32 PM" u="1"/>
        <s v="12/19/2024 12:10:45 PM" u="1"/>
        <s v="12/21/2024 12:57:16 PM" u="1"/>
        <s v="12/27/2024 10:38:11 AM" u="1"/>
        <s v="12/30/2024 9:39:20 PM" u="1"/>
        <d v="2024-01-12T16:04:30" u="1"/>
        <d v="2024-02-12T11:26:39" u="1"/>
        <d v="2024-09-12T14:07:38" u="1"/>
        <s v="12/16/2024 11:31:48 AM" u="1"/>
        <s v="12/18/2024 9:27:26 AM" u="1"/>
        <s v="12/18/2024 9:52:37 AM" u="1"/>
        <s v="12/26/2024 3:27:38 PM" u="1"/>
        <s v="12/27/2024 7:39:01 AM" u="1"/>
        <s v="12/28/2024 7:06:01 AM" u="1"/>
        <d v="2024-04-12T15:31:05" u="1"/>
        <d v="2024-11-12T19:39:25" u="1"/>
        <d v="2024-11-12T19:46:09" u="1"/>
        <s v="12/18/2024 12:25:37 PM" u="1"/>
        <s v="12/27/2024 5:22:30 PM" u="1"/>
        <s v="12/27/2024 5:28:46 PM" u="1"/>
        <d v="2024-11-12T19:07:19" u="1"/>
        <d v="2024-11-12T18:56:27" u="1"/>
        <s v="12/18/2024 11:38:11 AM" u="1"/>
        <s v="12/20/2024 9:32:00 AM" u="1"/>
        <s v="12/15/2024 2:33:24 PM" u="1"/>
        <d v="2024-05-12T22:49:42" u="1"/>
        <d v="2024-03-12T14:34:15" u="1"/>
        <d v="2024-08-12T13:20:21" u="1"/>
        <s v="12/15/2024 10:07:50 AM" u="1"/>
        <s v="12/19/2024 1:32:31 PM" u="1"/>
        <s v="12/17/2024 7:21:39 AM" u="1"/>
        <d v="2024-04-12T20:28:11" u="1"/>
        <d v="2024-09-12T19:07:27" u="1"/>
        <d v="2024-09-12T23:07:32" u="1"/>
        <s v="12/18/2024 9:30:03 AM" u="1"/>
        <s v="12/27/2024 6:45:17 AM" u="1"/>
        <s v="12/16/2024 6:30:15 AM" u="1"/>
        <s v="12/31/2024 7:45:14 AM" u="1"/>
        <s v="12/14/2024 1:42:32 PM" u="1"/>
        <s v="12/29/2024 12:30:36 PM" u="1"/>
        <s v="12/29/2024 12:43:32 PM" u="1"/>
        <s v="12/28/2024 3:37:48 PM" u="1"/>
        <d v="2024-11-12T17:37:59" u="1"/>
        <s v="12/23/2024 10:53:18 AM" u="1"/>
        <s v="12/16/2024 4:17:46 PM" u="1"/>
        <s v="12/17/2024 8:58:21 PM" u="1"/>
        <s v="12/18/2024 6:53:30 PM" u="1"/>
        <s v="12/17/2024 3:21:26 PM" u="1"/>
        <d v="2024-04-12T09:46:32" u="1"/>
        <d v="2024-07-12T11:10:02" u="1"/>
        <d v="2024-07-12T20:25:12" u="1"/>
        <d v="2024-08-12T19:01:41" u="1"/>
        <d v="2024-08-12T19:08:27" u="1"/>
        <d v="2024-03-12T18:38:09" u="1"/>
        <d v="2024-07-12T07:57:57" u="1"/>
        <d v="2024-11-12T19:12:14" u="1"/>
        <d v="2024-12-12T17:02:39" u="1"/>
        <d v="2024-03-12T07:50:00" u="1"/>
        <d v="2024-11-12T08:07:20" u="1"/>
        <s v="12/18/2024 1:27:45 PM" u="1"/>
        <s v="12/17/2024 6:43:17 PM" u="1"/>
        <s v="12/31/2024 10:12:19 AM" u="1"/>
        <s v="12/29/2024 8:32:50 PM" u="1"/>
        <s v="12/19/2024 4:06:41 PM" u="1"/>
        <d v="2024-02-12T21:09:48" u="1"/>
        <s v="12/13/2024 4:39:17 PM" u="1"/>
        <s v="12/16/2024 12:51:29 PM" u="1"/>
        <d v="2024-05-12T19:29:30" u="1"/>
        <d v="2024-12-12T18:45:10" u="1"/>
        <d v="2024-04-12T20:54:13" u="1"/>
        <s v="12/29/2024 7:55:55 PM" u="1"/>
        <d v="2024-05-12T12:33:04" u="1"/>
        <d v="2024-02-12T17:40:39" u="1"/>
        <s v="12/13/2024 12:21:08 PM" u="1"/>
        <s v="12/15/2024 7:53:34 PM" u="1"/>
        <d v="2024-09-12T10:32:21" u="1"/>
        <d v="2024-11-12T15:47:05" u="1"/>
        <s v="12/17/2024 1:16:09 PM" u="1"/>
        <d v="2024-01-12T16:53:22" u="1"/>
        <d v="2024-04-12T17:00:55" u="1"/>
        <s v="12/21/2024 5:03:44 PM" u="1"/>
        <s v="12/22/2024 12:59:33 PM" u="1"/>
        <d v="2024-07-12T12:20:29" u="1"/>
        <s v="12/13/2024 1:40:35 PM" u="1"/>
        <s v="12/27/2024 5:06:36 PM" u="1"/>
        <s v="12/21/2024 4:40:08 PM" u="1"/>
        <d v="2024-11-12T19:42:50" u="1"/>
        <d v="2024-09-12T19:41:56" u="1"/>
        <d v="2024-10-12T17:15:57" u="1"/>
        <s v="12/16/2024 7:32:15 PM" u="1"/>
        <s v="12/14/2024 12:40:45 PM" u="1"/>
        <s v="12/17/2024 9:38:38 AM" u="1"/>
        <d v="2024-01-12T20:19:48" u="1"/>
        <s v="12/16/2024 3:00:34 PM" u="1"/>
        <s v="12/16/2024 3:06:33 PM" u="1"/>
        <s v="12/19/2024 7:20:38 PM" u="1"/>
        <s v="12/21/2024 9:00:20 AM" u="1"/>
        <d v="2024-05-12T19:08:15" u="1"/>
        <s v="12/22/2024 8:00:34 AM" u="1"/>
        <s v="12/18/2024 8:46:42 PM" u="1"/>
        <d v="2024-02-12T16:22:53" u="1"/>
        <d v="2024-07-12T15:27:50" u="1"/>
        <s v="12/30/2024 3:42:46 PM" u="1"/>
        <d v="2024-12-12T14:20:34" u="1"/>
        <d v="2024-10-12T13:39:01" u="1"/>
        <s v="12/13/2024 12:22:04 PM" u="1"/>
        <d v="2024-04-12T10:32:03" u="1"/>
        <d v="2024-05-12T06:23:28" u="1"/>
        <d v="2024-06-12T15:16:19" u="1"/>
        <d v="2024-07-12T10:37:28" u="1"/>
        <d v="2024-10-12T15:22:05" u="1"/>
        <s v="12/13/2024 9:15:26 AM" u="1"/>
        <s v="12/20/2024 7:09:38 AM" u="1"/>
        <s v="12/18/2024 7:23:48 AM" u="1"/>
        <s v="12/30/2024 6:02:57 PM" u="1"/>
        <s v="12/26/2024 11:33:52 AM" u="1"/>
        <s v="12/16/2024 10:58:43 AM" u="1"/>
        <d v="2024-12-12T08:04:42" u="1"/>
        <s v="12/26/2024 2:48:06 PM" u="1"/>
        <s v="12/28/2024 7:34:06 PM" u="1"/>
        <s v="12/29/2024 4:11:11 PM" u="1"/>
        <s v="12/14/2024 4:12:20 PM" u="1"/>
        <s v="12/16/2024 12:19:33 PM" u="1"/>
        <s v="12/31/2024 12:14:16 PM" u="1"/>
        <s v="12/31/2024 4:39:41 PM" u="1"/>
        <s v="12/18/2024 3:42:23 PM" u="1"/>
        <d v="2024-11-12T16:32:19" u="1"/>
        <d v="2024-12-12T11:02:02" u="1"/>
        <d v="2024-02-12T09:52:35" u="1"/>
        <d v="2024-05-12T18:41:38" u="1"/>
        <d v="2024-06-12T16:51:01" u="1"/>
        <d v="2024-07-12T18:28:15" u="1"/>
        <s v="12/14/2024 1:41:20 PM" u="1"/>
        <d v="2024-05-12T15:11:17" u="1"/>
        <s v="12/16/2024 8:35:36 AM" u="1"/>
        <s v="12/18/2024 4:20:41 PM" u="1"/>
        <s v="12/19/2024 7:29:42 AM" u="1"/>
        <s v="12/26/2024 8:03:21 PM" u="1"/>
        <d v="2024-04-12T09:05:19" u="1"/>
        <d v="2024-03-12T10:45:16" u="1"/>
        <d v="2024-03-12T10:56:11" u="1"/>
        <d v="2024-03-12T12:59:15" u="1"/>
        <d v="2024-03-12T13:29:51" u="1"/>
        <d v="2024-04-12T10:25:25" u="1"/>
        <d v="2024-04-12T11:40:41" u="1"/>
        <d v="2024-07-12T08:54:25" u="1"/>
        <d v="2024-03-12T10:25:14" u="1"/>
        <s v="12/19/2024 3:25:07 PM" u="1"/>
        <s v="12/26/2024 10:05:06 PM" u="1"/>
        <s v="12/26/2024 10:12:55 PM" u="1"/>
        <s v="12/26/2024 10:21:02 PM" u="1"/>
        <s v="12/31/2024 12:00:57 AM" u="1"/>
        <s v="12/31/2024 12:08:16 AM" u="1"/>
        <s v="12/31/2024 12:17:50 AM" u="1"/>
        <s v="12/14/2024 9:19:25 AM" u="1"/>
        <d v="2024-04-12T06:50:11" u="1"/>
        <d v="2024-07-12T18:55:32" u="1"/>
        <d v="2024-02-12T11:31:36" u="1"/>
        <d v="2024-06-12T06:32:48" u="1"/>
        <d v="2024-10-12T07:27:55" u="1"/>
        <d v="2024-11-12T09:36:44" u="1"/>
        <d v="2024-11-12T20:55:43" u="1"/>
        <d v="2024-12-12T07:22:09" u="1"/>
        <d v="2024-12-12T19:08:16" u="1"/>
        <d v="2024-02-12T07:12:52" u="1"/>
        <s v="12/17/2024 7:05:50 AM" u="1"/>
        <s v="12/19/2024 10:34:43 AM" u="1"/>
        <s v="12/19/2024 6:24:23 PM" u="1"/>
        <s v="12/20/2024 6:22:39 AM" u="1"/>
        <s v="12/23/2024 6:24:29 AM" u="1"/>
        <s v="12/27/2024 8:15:17 AM" u="1"/>
        <d v="2024-06-12T11:23:17" u="1"/>
        <s v="12/27/2024 8:46:00 PM" u="1"/>
        <s v="12/30/2024 10:04:41 PM" u="1"/>
        <s v="12/26/2024 12:42:13 PM" u="1"/>
        <s v="12/26/2024 12:50:58 PM" u="1"/>
        <d v="2024-07-12T19:08:04" u="1"/>
        <d v="2024-12-12T13:53:22" u="1"/>
        <d v="2024-06-12T12:53:22" u="1"/>
        <d v="2024-08-12T18:34:11" u="1"/>
        <s v="12/15/2024 5:41:32 PM" u="1"/>
        <s v="12/20/2024 7:25:16 PM" u="1"/>
        <s v="12/28/2024 9:13:53 PM" u="1"/>
        <s v="12/18/2024 6:15:23 PM" u="1"/>
        <s v="12/16/2024 12:03:39 AM" u="1"/>
        <d v="2024-06-12T08:52:04" u="1"/>
        <d v="2024-12-12T15:29:05" u="1"/>
        <d v="2024-10-12T14:52:36" u="1"/>
        <s v="12/18/2024 11:45:32 AM" u="1"/>
        <d v="2024-07-12T09:22:41" u="1"/>
        <d v="2024-02-12T00:10:25" u="1"/>
        <d v="2024-03-12T23:56:57" u="1"/>
        <d v="2024-04-12T21:02:40" u="1"/>
        <d v="2024-10-12T23:25:39" u="1"/>
        <d v="2024-10-12T23:31:01" u="1"/>
        <s v="12/22/2024 5:32:54 PM" u="1"/>
        <d v="2024-07-12T19:56:56" u="1"/>
        <s v="12/17/2024 2:39:21 PM" u="1"/>
        <s v="12/17/2024 2:59:08 PM" u="1"/>
        <d v="2024-03-12T12:28:06" u="1"/>
        <s v="12/14/2024 6:53:45 PM" u="1"/>
        <s v="12/14/2024 6:59:34 PM" u="1"/>
        <d v="2024-06-12T11:08:22" u="1"/>
        <s v="12/22/2024 1:17:37 PM" u="1"/>
        <s v="12/25/2024 5:14:51 PM" u="1"/>
        <s v="12/13/2024 4:35:28 PM" u="1"/>
        <s v="12/16/2024 8:56:05 PM" u="1"/>
        <s v="12/21/2024 9:06:50 AM" u="1"/>
        <s v="12/22/2024 9:47:15 AM" u="1"/>
        <s v="12/28/2024 2:00:58 PM" u="1"/>
        <s v="12/20/2024 9:26:15 PM" u="1"/>
        <s v="12/26/2024 12:12:36 PM" u="1"/>
        <s v="12/29/2024 7:15:31 PM" u="1"/>
        <s v="12/26/2024 6:48:48 PM" u="1"/>
        <d v="2024-01-12T11:22:15" u="1"/>
        <d v="2024-04-12T20:36:08" u="1"/>
        <s v="12/24/2024 3:11:35 PM" u="1"/>
        <s v="12/31/2024 4:37:13 PM" u="1"/>
        <d v="2024-12-12T19:02:35" u="1"/>
        <s v="12/17/2024 6:43:53 AM" u="1"/>
        <s v="12/19/2024 7:23:45 PM" u="1"/>
        <s v="12/18/2024 8:00:46 PM" u="1"/>
        <s v="12/23/2024 12:08:42 PM" u="1"/>
        <s v="12/26/2024 7:47:54 PM" u="1"/>
        <s v="12/14/2024 2:26:03 PM" u="1"/>
        <s v="12/20/2024 8:15:29 AM" u="1"/>
        <s v="12/17/2024 7:27:25 AM" u="1"/>
        <d v="2024-07-12T19:30:36" u="1"/>
        <s v="12/13/2024 10:50:28 AM" u="1"/>
        <s v="12/13/2024 10:56:19 AM" u="1"/>
        <s v="12/14/2024 5:05:42 PM" u="1"/>
        <s v="12/18/2024 11:28:46 AM" u="1"/>
        <s v="12/18/2024 11:37:54 AM" u="1"/>
        <d v="2024-03-12T12:54:55" u="1"/>
        <s v="12/26/2024 10:07:04 AM" u="1"/>
        <d v="2024-01-12T19:10:14" u="1"/>
        <d v="2024-02-12T08:44:36" u="1"/>
        <d v="2024-07-12T14:49:52" u="1"/>
        <d v="2024-03-12T16:12:13" u="1"/>
        <d v="2024-09-12T10:08:30" u="1"/>
        <s v="12/13/2024 2:47:52 PM" u="1"/>
        <d v="2024-06-12T16:07:31" u="1"/>
        <s v="12/13/2024 10:17:22 PM" u="1"/>
        <s v="12/13/2024 10:33:02 PM" u="1"/>
        <s v="12/28/2024 10:34:08 AM" u="1"/>
        <s v="12/28/2024 10:40:37 AM" u="1"/>
        <s v="12/19/2024 7:50:25 PM" u="1"/>
        <s v="12/19/2024 8:06:16 PM" u="1"/>
        <s v="12/16/2024 8:42:01 PM" u="1"/>
        <s v="12/16/2024 8:50:27 PM" u="1"/>
        <s v="12/16/2024 8:32:21 PM" u="1"/>
      </sharedItems>
    </cacheField>
    <cacheField name="TARJETAHABIENTE" numFmtId="0">
      <sharedItems/>
    </cacheField>
    <cacheField name="PRODUCTO" numFmtId="0">
      <sharedItems/>
    </cacheField>
    <cacheField name="TARJETA" numFmtId="49">
      <sharedItems/>
    </cacheField>
    <cacheField name="CANTIDAD" numFmtId="0">
      <sharedItems containsSemiMixedTypes="0" containsString="0" containsNumber="1" minValue="0.59" maxValue="104.59"/>
    </cacheField>
    <cacheField name="MONTO" numFmtId="8">
      <sharedItems containsSemiMixedTypes="0" containsString="0" containsNumber="1" minValue="172" maxValue="23178"/>
    </cacheField>
    <cacheField name="IMPUESTO" numFmtId="8">
      <sharedItems containsSemiMixedTypes="0" containsString="0" containsNumber="1" containsInteger="1" minValue="0" maxValue="0"/>
    </cacheField>
    <cacheField name="TOTAL" numFmtId="8">
      <sharedItems containsSemiMixedTypes="0" containsString="0" containsNumber="1" minValue="172" maxValue="23178"/>
    </cacheField>
    <cacheField name="PRECIO GALON SHELL" numFmtId="0">
      <sharedItems containsSemiMixedTypes="0" containsString="0" containsNumber="1" minValue="0" maxValue="290.10039999999998"/>
    </cacheField>
    <cacheField name="DESCUENTO" numFmtId="8">
      <sharedItems containsSemiMixedTypes="0" containsString="0" containsNumber="1" containsInteger="1" minValue="6" maxValue="6"/>
    </cacheField>
    <cacheField name="PRECIO DE GALON - DESCUENTO" numFmtId="8">
      <sharedItems containsSemiMixedTypes="0" containsString="0" containsNumber="1" minValue="-6" maxValue="284.10039999999998"/>
    </cacheField>
    <cacheField name="TOTAL CON DESCUENTO" numFmtId="8">
      <sharedItems containsSemiMixedTypes="0" containsString="0" containsNumber="1" minValue="-143.46" maxValue="22549.101968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">
  <r>
    <x v="0"/>
    <s v="MARIANO RECIO"/>
    <s v="DIESEL REGULAR"/>
    <s v="1001972149023521"/>
    <n v="16.25"/>
    <n v="3600"/>
    <n v="0"/>
    <n v="3600"/>
    <n v="221.59520000000001"/>
    <n v="6"/>
    <n v="215.59520000000001"/>
    <n v="3503.422"/>
  </r>
  <r>
    <x v="1"/>
    <s v="MARIANO RECIO"/>
    <s v="DIESEL REGULAR"/>
    <s v="1001972149023521"/>
    <n v="14.61"/>
    <n v="3238"/>
    <n v="0"/>
    <n v="3238"/>
    <n v="221.59520000000001"/>
    <n v="6"/>
    <n v="215.59520000000001"/>
    <n v="3149.8458719999999"/>
  </r>
  <r>
    <x v="2"/>
    <s v="MARIANO RECIO"/>
    <s v="DIESEL V-POWER"/>
    <s v="1001972149023521"/>
    <n v="16.170000000000002"/>
    <n v="3866"/>
    <n v="0"/>
    <n v="3866"/>
    <n v="239.10159999999999"/>
    <n v="6"/>
    <n v="233.10159999999999"/>
    <n v="3769.252872"/>
  </r>
  <r>
    <x v="3"/>
    <s v="MARIANO RECIO"/>
    <s v="DIESEL REGULAR"/>
    <s v="1001972149023521"/>
    <n v="14.05"/>
    <n v="3113"/>
    <n v="0"/>
    <n v="3113"/>
    <n v="221.59520000000001"/>
    <n v="6"/>
    <n v="215.59520000000001"/>
    <n v="3029.11256"/>
  </r>
  <r>
    <x v="4"/>
    <s v="MARIANO RECIO"/>
    <s v="DIESEL V-POWER"/>
    <s v="1001972149023521"/>
    <n v="17.059999999999999"/>
    <n v="4080"/>
    <n v="0"/>
    <n v="4080"/>
    <n v="239.10159999999999"/>
    <n v="6"/>
    <n v="233.10159999999999"/>
    <n v="3976.7132959999994"/>
  </r>
  <r>
    <x v="5"/>
    <s v="MARIANO RECIO"/>
    <s v="DIESEL V-POWER"/>
    <s v="1001972149023521"/>
    <n v="19.45"/>
    <n v="4650"/>
    <n v="0"/>
    <n v="4650"/>
    <n v="239.10159999999999"/>
    <n v="6"/>
    <n v="233.10159999999999"/>
    <n v="4533.8261199999997"/>
  </r>
  <r>
    <x v="6"/>
    <s v="TITO TEJADA"/>
    <s v="GASOLINA V-POWER"/>
    <s v="1001253715754879"/>
    <n v="10.69"/>
    <n v="3100"/>
    <n v="0"/>
    <n v="3100"/>
    <n v="290.10039999999998"/>
    <n v="6"/>
    <n v="284.10039999999998"/>
    <n v="3037.0332759999997"/>
  </r>
  <r>
    <x v="7"/>
    <s v="TITO TEJADA"/>
    <s v="GASOLINA V-POWER"/>
    <s v="1001253715754879"/>
    <n v="17.239999999999998"/>
    <n v="5000"/>
    <n v="0"/>
    <n v="5000"/>
    <n v="290.10039999999998"/>
    <n v="6"/>
    <n v="284.10039999999998"/>
    <n v="4897.890895999999"/>
  </r>
  <r>
    <x v="7"/>
    <s v="TITO TEJADA"/>
    <s v="GASOLINA V-POWER"/>
    <s v="1001253715754879"/>
    <n v="17.239999999999998"/>
    <n v="5000"/>
    <n v="0"/>
    <n v="5000"/>
    <n v="290.10039999999998"/>
    <n v="6"/>
    <n v="284.10039999999998"/>
    <n v="4897.890895999999"/>
  </r>
  <r>
    <x v="7"/>
    <s v="TITO TEJADA"/>
    <s v="GASOLINA V-POWER"/>
    <s v="1001253715754879"/>
    <n v="11.03"/>
    <n v="3200"/>
    <n v="0"/>
    <n v="3200"/>
    <n v="290.10039999999998"/>
    <n v="6"/>
    <n v="284.10039999999998"/>
    <n v="3133.6274119999994"/>
  </r>
  <r>
    <x v="7"/>
    <s v="TITO TEJADA"/>
    <s v="GASOLINA V-POWER"/>
    <s v="1001253715754879"/>
    <n v="11.03"/>
    <n v="3200"/>
    <n v="0"/>
    <n v="3200"/>
    <n v="290.10039999999998"/>
    <n v="6"/>
    <n v="284.10039999999998"/>
    <n v="3133.6274119999994"/>
  </r>
  <r>
    <x v="8"/>
    <s v="ABRAHAM MARTINEZ"/>
    <s v="DIESEL V-POWER"/>
    <s v="1001988259892902"/>
    <n v="20.91"/>
    <n v="5000"/>
    <n v="0"/>
    <n v="5000"/>
    <n v="239.10159999999999"/>
    <n v="6"/>
    <n v="233.10159999999999"/>
    <n v="4874.1544560000002"/>
  </r>
  <r>
    <x v="0"/>
    <s v="ABRAHAM MARTINEZ"/>
    <s v="DIESEL REGULAR"/>
    <s v="1001988259892902"/>
    <n v="15.79"/>
    <n v="3500"/>
    <n v="0"/>
    <n v="3500"/>
    <n v="221.59520000000001"/>
    <n v="6"/>
    <n v="215.59520000000001"/>
    <n v="3404.248208"/>
  </r>
  <r>
    <x v="9"/>
    <s v="ABRAHAM MARTINEZ"/>
    <s v="DIESEL REGULAR"/>
    <s v="1001988259892902"/>
    <n v="15.79"/>
    <n v="3500"/>
    <n v="0"/>
    <n v="3500"/>
    <n v="221.59520000000001"/>
    <n v="6"/>
    <n v="215.59520000000001"/>
    <n v="3404.248208"/>
  </r>
  <r>
    <x v="10"/>
    <s v="ABRAHAM MARTINEZ"/>
    <s v="DIESEL V-POWER"/>
    <s v="1001988259892902"/>
    <n v="18.82"/>
    <n v="4500"/>
    <n v="0"/>
    <n v="4500"/>
    <n v="239.10159999999999"/>
    <n v="6"/>
    <n v="233.10159999999999"/>
    <n v="4386.9721119999995"/>
  </r>
  <r>
    <x v="1"/>
    <s v="ABRAHAM MARTINEZ"/>
    <s v="DIESEL REGULAR"/>
    <s v="1001988259892902"/>
    <n v="13.54"/>
    <n v="3000"/>
    <n v="0"/>
    <n v="3000"/>
    <n v="221.59520000000001"/>
    <n v="6"/>
    <n v="215.59520000000001"/>
    <n v="2919.1590080000001"/>
  </r>
  <r>
    <x v="1"/>
    <s v="LOPEZ L. DISTRIBUCION SRL"/>
    <s v="DIESEL REGULAR"/>
    <s v="1001745959423967"/>
    <n v="13.54"/>
    <n v="3000"/>
    <n v="0"/>
    <n v="3000"/>
    <n v="221.59520000000001"/>
    <n v="6"/>
    <n v="215.59520000000001"/>
    <n v="2919.1590080000001"/>
  </r>
  <r>
    <x v="1"/>
    <s v="LOPEZ L. DISTRIBUCION SRL"/>
    <s v="DIESEL REGULAR"/>
    <s v="1001745959423967"/>
    <n v="22.56"/>
    <n v="5000"/>
    <n v="0"/>
    <n v="5000"/>
    <n v="221.59520000000001"/>
    <n v="6"/>
    <n v="215.59520000000001"/>
    <n v="4863.8277120000002"/>
  </r>
  <r>
    <x v="1"/>
    <s v="LOPEZ L. DISTRIBUCION SRL"/>
    <s v="DIESEL REGULAR"/>
    <s v="1001745959423967"/>
    <n v="27.08"/>
    <n v="6000"/>
    <n v="0"/>
    <n v="6000"/>
    <n v="221.59520000000001"/>
    <n v="6"/>
    <n v="215.59520000000001"/>
    <n v="5838.3180160000002"/>
  </r>
  <r>
    <x v="11"/>
    <s v="LOPEZ L. DISTRIBUCION SRL"/>
    <s v="DIESEL REGULAR"/>
    <s v="1001745959423967"/>
    <n v="13.54"/>
    <n v="3000"/>
    <n v="0"/>
    <n v="3000"/>
    <n v="221.59520000000001"/>
    <n v="6"/>
    <n v="215.59520000000001"/>
    <n v="2919.1590080000001"/>
  </r>
  <r>
    <x v="11"/>
    <s v="LOPEZ L. DISTRIBUCION SRL"/>
    <s v="DIESEL REGULAR"/>
    <s v="1001745959423967"/>
    <n v="27.08"/>
    <n v="6000"/>
    <n v="0"/>
    <n v="6000"/>
    <n v="221.59520000000001"/>
    <n v="6"/>
    <n v="215.59520000000001"/>
    <n v="5838.3180160000002"/>
  </r>
  <r>
    <x v="11"/>
    <s v="LOPEZ L. DISTRIBUCION SRL"/>
    <s v="DIESEL REGULAR"/>
    <s v="1001745959423967"/>
    <n v="31.59"/>
    <n v="7000"/>
    <n v="0"/>
    <n v="7000"/>
    <n v="221.59520000000001"/>
    <n v="6"/>
    <n v="215.59520000000001"/>
    <n v="6810.652368"/>
  </r>
  <r>
    <x v="2"/>
    <s v="LOPEZ L. DISTRIBUCION SRL"/>
    <s v="DIESEL REGULAR"/>
    <s v="1001745959423967"/>
    <n v="13.54"/>
    <n v="3000"/>
    <n v="0"/>
    <n v="3000"/>
    <n v="221.59520000000001"/>
    <n v="6"/>
    <n v="215.59520000000001"/>
    <n v="2919.1590080000001"/>
  </r>
  <r>
    <x v="2"/>
    <s v="LOPEZ L. DISTRIBUCION SRL"/>
    <s v="DIESEL REGULAR"/>
    <s v="1001745959423967"/>
    <n v="6.77"/>
    <n v="1500"/>
    <n v="0"/>
    <n v="1500"/>
    <n v="221.59520000000001"/>
    <n v="6"/>
    <n v="215.59520000000001"/>
    <n v="1459.579504"/>
  </r>
  <r>
    <x v="12"/>
    <s v="LOPEZ L. DISTRIBUCION SRL"/>
    <s v="DIESEL REGULAR"/>
    <s v="1001745959423967"/>
    <n v="31.59"/>
    <n v="7000"/>
    <n v="0"/>
    <n v="7000"/>
    <n v="221.59520000000001"/>
    <n v="6"/>
    <n v="215.59520000000001"/>
    <n v="6810.652368"/>
  </r>
  <r>
    <x v="12"/>
    <s v="LOPEZ L. DISTRIBUCION SRL"/>
    <s v="DIESEL REGULAR"/>
    <s v="1001745959423967"/>
    <n v="9.0299999999999994"/>
    <n v="2000"/>
    <n v="0"/>
    <n v="2000"/>
    <n v="221.59520000000001"/>
    <n v="6"/>
    <n v="215.59520000000001"/>
    <n v="1946.824656"/>
  </r>
  <r>
    <x v="12"/>
    <s v="LOPEZ L. DISTRIBUCION SRL"/>
    <s v="DIESEL REGULAR"/>
    <s v="1001745959423967"/>
    <n v="9.0299999999999994"/>
    <n v="2000.2"/>
    <n v="0"/>
    <n v="2000.2"/>
    <n v="221.59520000000001"/>
    <n v="6"/>
    <n v="215.59520000000001"/>
    <n v="1946.824656"/>
  </r>
  <r>
    <x v="12"/>
    <s v="LOPEZ L. DISTRIBUCION SRL"/>
    <s v="DIESEL REGULAR"/>
    <s v="1001745959423967"/>
    <n v="31.59"/>
    <n v="7000"/>
    <n v="0"/>
    <n v="7000"/>
    <n v="221.59520000000001"/>
    <n v="6"/>
    <n v="215.59520000000001"/>
    <n v="6810.652368"/>
  </r>
  <r>
    <x v="12"/>
    <s v="LOPEZ L. DISTRIBUCION SRL"/>
    <s v="DIESEL REGULAR"/>
    <s v="1001745959423967"/>
    <n v="13.54"/>
    <n v="3000"/>
    <n v="0"/>
    <n v="3000"/>
    <n v="221.59520000000001"/>
    <n v="6"/>
    <n v="215.59520000000001"/>
    <n v="2919.1590080000001"/>
  </r>
  <r>
    <x v="13"/>
    <s v="LOPEZ L. DISTRIBUCION SRL"/>
    <s v="DIESEL REGULAR"/>
    <s v="1001745959423967"/>
    <n v="13.54"/>
    <n v="3000"/>
    <n v="0"/>
    <n v="3000"/>
    <n v="221.59520000000001"/>
    <n v="6"/>
    <n v="215.59520000000001"/>
    <n v="2919.1590080000001"/>
  </r>
  <r>
    <x v="13"/>
    <s v="LOPEZ L. DISTRIBUCION SRL"/>
    <s v="DIESEL REGULAR"/>
    <s v="1001745959423967"/>
    <n v="4.51"/>
    <n v="1000"/>
    <n v="0"/>
    <n v="1000"/>
    <n v="221.59520000000001"/>
    <n v="6"/>
    <n v="215.59520000000001"/>
    <n v="972.33435199999997"/>
  </r>
  <r>
    <x v="14"/>
    <s v="LOPEZ L. DISTRIBUCION SRL"/>
    <s v="DIESEL REGULAR"/>
    <s v="1001745959423967"/>
    <n v="31.59"/>
    <n v="7000"/>
    <n v="0"/>
    <n v="7000"/>
    <n v="221.59520000000001"/>
    <n v="6"/>
    <n v="215.59520000000001"/>
    <n v="6810.652368"/>
  </r>
  <r>
    <x v="14"/>
    <s v="LOPEZ L. DISTRIBUCION SRL"/>
    <s v="DIESEL REGULAR"/>
    <s v="1001745959423967"/>
    <n v="27.08"/>
    <n v="6000"/>
    <n v="0"/>
    <n v="6000"/>
    <n v="221.59520000000001"/>
    <n v="6"/>
    <n v="215.59520000000001"/>
    <n v="5838.3180160000002"/>
  </r>
  <r>
    <x v="6"/>
    <s v="LOPEZ L. DISTRIBUCION SRL"/>
    <s v="DIESEL REGULAR"/>
    <s v="1001745959423967"/>
    <n v="9.0299999999999994"/>
    <n v="2000"/>
    <n v="0"/>
    <n v="2000"/>
    <n v="221.59520000000001"/>
    <n v="6"/>
    <n v="215.59520000000001"/>
    <n v="1946.824656"/>
  </r>
  <r>
    <x v="6"/>
    <s v="LOPEZ L. DISTRIBUCION SRL"/>
    <s v="DIESEL REGULAR"/>
    <s v="1001745959423967"/>
    <n v="31.59"/>
    <n v="7000"/>
    <n v="0"/>
    <n v="7000"/>
    <n v="221.59520000000001"/>
    <n v="6"/>
    <n v="215.59520000000001"/>
    <n v="6810.652368"/>
  </r>
  <r>
    <x v="6"/>
    <s v="LOPEZ L. DISTRIBUCION SRL"/>
    <s v="DIESEL REGULAR"/>
    <s v="1001745959423967"/>
    <n v="13.54"/>
    <n v="3000"/>
    <n v="0"/>
    <n v="3000"/>
    <n v="221.59520000000001"/>
    <n v="6"/>
    <n v="215.59520000000001"/>
    <n v="2919.1590080000001"/>
  </r>
  <r>
    <x v="15"/>
    <s v="ABRAHAM MARTINEZ"/>
    <s v="DIESEL REGULAR"/>
    <s v="1001988259892902"/>
    <n v="4.51"/>
    <n v="1000"/>
    <n v="0"/>
    <n v="1000"/>
    <n v="221.59520000000001"/>
    <n v="6"/>
    <n v="215.59520000000001"/>
    <n v="972.33435199999997"/>
  </r>
  <r>
    <x v="16"/>
    <s v="ABRAHAM MARTINEZ"/>
    <s v="DIESEL REGULAR"/>
    <s v="1001988259892902"/>
    <n v="4.51"/>
    <n v="1000"/>
    <n v="0"/>
    <n v="1000"/>
    <n v="221.59520000000001"/>
    <n v="6"/>
    <n v="215.59520000000001"/>
    <n v="972.33435199999997"/>
  </r>
  <r>
    <x v="2"/>
    <s v="ABRAHAM MARTINEZ"/>
    <s v="DIESEL REGULAR"/>
    <s v="1001988259892902"/>
    <n v="20.309999999999999"/>
    <n v="4500.3999999999996"/>
    <n v="0"/>
    <n v="4500.3999999999996"/>
    <n v="221.59520000000001"/>
    <n v="6"/>
    <n v="215.59520000000001"/>
    <n v="4378.7385119999999"/>
  </r>
  <r>
    <x v="12"/>
    <s v="ABRAHAM MARTINEZ"/>
    <s v="DIESEL REGULAR"/>
    <s v="1001988259892902"/>
    <n v="4.51"/>
    <n v="999.6"/>
    <n v="0"/>
    <n v="999.6"/>
    <n v="221.59520000000001"/>
    <n v="6"/>
    <n v="215.59520000000001"/>
    <n v="972.33435199999997"/>
  </r>
  <r>
    <x v="17"/>
    <s v="ABRAHAM MARTINEZ"/>
    <s v="DIESEL V-POWER"/>
    <s v="1001988259892902"/>
    <n v="20.91"/>
    <n v="5000"/>
    <n v="0"/>
    <n v="5000"/>
    <n v="239.10159999999999"/>
    <n v="6"/>
    <n v="233.10159999999999"/>
    <n v="4874.1544560000002"/>
  </r>
  <r>
    <x v="18"/>
    <s v="ABRAHAM MARTINEZ"/>
    <s v="DIESEL REGULAR"/>
    <s v="1001988259892902"/>
    <n v="9.0299999999999994"/>
    <n v="2000"/>
    <n v="0"/>
    <n v="2000"/>
    <n v="221.59520000000001"/>
    <n v="6"/>
    <n v="215.59520000000001"/>
    <n v="1946.824656"/>
  </r>
  <r>
    <x v="19"/>
    <s v="ABRAHAM MARTINEZ"/>
    <s v="DIESEL REGULAR"/>
    <s v="1001988259892902"/>
    <n v="15.79"/>
    <n v="3500"/>
    <n v="0"/>
    <n v="3500"/>
    <n v="221.59520000000001"/>
    <n v="6"/>
    <n v="215.59520000000001"/>
    <n v="3404.248208"/>
  </r>
  <r>
    <x v="20"/>
    <s v="ABRAHAM MARTINEZ"/>
    <s v="DIESEL REGULAR"/>
    <s v="1001988259892902"/>
    <n v="20.309999999999999"/>
    <n v="4500"/>
    <n v="0"/>
    <n v="4500"/>
    <n v="221.59520000000001"/>
    <n v="6"/>
    <n v="215.59520000000001"/>
    <n v="4378.7385119999999"/>
  </r>
  <r>
    <x v="6"/>
    <s v="ABRAHAM MARTINEZ"/>
    <s v="DIESEL REGULAR"/>
    <s v="1001988259892902"/>
    <n v="20.309999999999999"/>
    <n v="4500"/>
    <n v="0"/>
    <n v="4500"/>
    <n v="221.59520000000001"/>
    <n v="6"/>
    <n v="215.59520000000001"/>
    <n v="4378.7385119999999"/>
  </r>
  <r>
    <x v="5"/>
    <s v="ABRAHAM MARTINEZ"/>
    <s v="DIESEL REGULAR"/>
    <s v="1001988259892902"/>
    <n v="4.51"/>
    <n v="1000"/>
    <n v="0"/>
    <n v="1000"/>
    <n v="221.59520000000001"/>
    <n v="6"/>
    <n v="215.59520000000001"/>
    <n v="972.33435199999997"/>
  </r>
  <r>
    <x v="5"/>
    <s v="ABRAHAM MARTINEZ"/>
    <s v="DIESEL REGULAR"/>
    <s v="1001988259892902"/>
    <n v="15.79"/>
    <n v="3500"/>
    <n v="0"/>
    <n v="3500"/>
    <n v="221.59520000000001"/>
    <n v="6"/>
    <n v="215.59520000000001"/>
    <n v="3404.248208"/>
  </r>
  <r>
    <x v="21"/>
    <s v="ABRAHAM MARTINEZ"/>
    <s v="DIESEL REGULAR"/>
    <s v="1001988259892902"/>
    <n v="11.28"/>
    <n v="2500"/>
    <n v="0"/>
    <n v="2500"/>
    <n v="221.59520000000001"/>
    <n v="6"/>
    <n v="215.59520000000001"/>
    <n v="2431.9138560000001"/>
  </r>
  <r>
    <x v="0"/>
    <s v="JUAN A. ALBERTO P."/>
    <s v="GASOLINA V-POWER"/>
    <s v="1001112694930630"/>
    <n v="25.52"/>
    <n v="7403"/>
    <n v="0"/>
    <n v="7403"/>
    <n v="290.10039999999998"/>
    <n v="6"/>
    <n v="284.10039999999998"/>
    <n v="7250.2422079999997"/>
  </r>
  <r>
    <x v="9"/>
    <s v="JUAN A. ALBERTO P."/>
    <s v="GASOLINA V-POWER"/>
    <s v="1001112694930630"/>
    <n v="34.47"/>
    <n v="9999"/>
    <n v="0"/>
    <n v="9999"/>
    <n v="290.10039999999998"/>
    <n v="6"/>
    <n v="284.10039999999998"/>
    <n v="9792.9407879999981"/>
  </r>
  <r>
    <x v="9"/>
    <s v="JUAN A. ALBERTO P."/>
    <s v="GASOLINA V-POWER"/>
    <s v="1001112694930630"/>
    <n v="34.47"/>
    <n v="9999"/>
    <n v="0"/>
    <n v="9999"/>
    <n v="290.10039999999998"/>
    <n v="6"/>
    <n v="284.10039999999998"/>
    <n v="9792.9407879999981"/>
  </r>
  <r>
    <x v="9"/>
    <s v="JUAN A. ALBERTO P."/>
    <s v="GASOLINA V-POWER"/>
    <s v="1001112694930630"/>
    <n v="34.47"/>
    <n v="9999"/>
    <n v="0"/>
    <n v="9999"/>
    <n v="290.10039999999998"/>
    <n v="6"/>
    <n v="284.10039999999998"/>
    <n v="9792.9407879999981"/>
  </r>
  <r>
    <x v="6"/>
    <s v="JUAN A. ALBERTO P."/>
    <s v="GASOLINA V-POWER"/>
    <s v="1001112694930630"/>
    <n v="26.06"/>
    <n v="7560"/>
    <n v="0"/>
    <n v="7560"/>
    <n v="290.10039999999998"/>
    <n v="6"/>
    <n v="284.10039999999998"/>
    <n v="7403.6564239999989"/>
  </r>
  <r>
    <x v="21"/>
    <s v="JUAN A. ALBERTO P."/>
    <s v="GASOLINA V-POWER"/>
    <s v="1001112694930630"/>
    <n v="34.47"/>
    <n v="9999"/>
    <n v="0"/>
    <n v="9999"/>
    <n v="290.10039999999998"/>
    <n v="6"/>
    <n v="284.10039999999998"/>
    <n v="9792.9407879999981"/>
  </r>
  <r>
    <x v="13"/>
    <s v="JUAN A. ALBERTO P."/>
    <s v="GASOLINA V-POWER"/>
    <s v="1001112694930630"/>
    <n v="34.47"/>
    <n v="10000"/>
    <n v="0"/>
    <n v="10000"/>
    <n v="290.10039999999998"/>
    <n v="6"/>
    <n v="284.10039999999998"/>
    <n v="9792.9407879999981"/>
  </r>
  <r>
    <x v="13"/>
    <s v="JUAN A. ALBERTO P."/>
    <s v="GASOLINA V-POWER"/>
    <s v="1001112694930630"/>
    <n v="34.47"/>
    <n v="9999"/>
    <n v="0"/>
    <n v="9999"/>
    <n v="290.10039999999998"/>
    <n v="6"/>
    <n v="284.10039999999998"/>
    <n v="9792.9407879999981"/>
  </r>
  <r>
    <x v="13"/>
    <s v="JUAN A. ALBERTO P."/>
    <s v="GASOLINA REGULAR"/>
    <s v="1001112694930630"/>
    <n v="36.700000000000003"/>
    <n v="10000"/>
    <n v="0"/>
    <n v="10000"/>
    <n v="272.50659999999999"/>
    <n v="6"/>
    <n v="266.50659999999999"/>
    <n v="9780.7922200000012"/>
  </r>
  <r>
    <x v="13"/>
    <s v="JUAN A. ALBERTO P."/>
    <s v="GASOLINA V-POWER"/>
    <s v="1001112694930630"/>
    <n v="34.47"/>
    <n v="10000"/>
    <n v="0"/>
    <n v="10000"/>
    <n v="290.10039999999998"/>
    <n v="6"/>
    <n v="284.10039999999998"/>
    <n v="9792.9407879999981"/>
  </r>
  <r>
    <x v="13"/>
    <s v="JUAN A. ALBERTO P."/>
    <s v="DIESEL REGULAR"/>
    <s v="1001112694930630"/>
    <n v="45.13"/>
    <n v="10000"/>
    <n v="0"/>
    <n v="10000"/>
    <n v="221.59520000000001"/>
    <n v="6"/>
    <n v="215.59520000000001"/>
    <n v="9729.8113760000015"/>
  </r>
  <r>
    <x v="13"/>
    <s v="JUAN A. ALBERTO P."/>
    <s v="GASOLINA V-POWER"/>
    <s v="1001112694930630"/>
    <n v="6.89"/>
    <n v="2000"/>
    <n v="0"/>
    <n v="2000"/>
    <n v="290.10039999999998"/>
    <n v="6"/>
    <n v="284.10039999999998"/>
    <n v="1957.4517559999997"/>
  </r>
  <r>
    <x v="18"/>
    <s v="CARLOS FLAQUER"/>
    <s v="GASOLINA V-POWER"/>
    <s v="1001219129392324"/>
    <n v="14.72"/>
    <n v="4271.7"/>
    <n v="0"/>
    <n v="4271.7"/>
    <n v="290.10039999999998"/>
    <n v="6"/>
    <n v="284.10039999999998"/>
    <n v="4181.9578879999999"/>
  </r>
  <r>
    <x v="0"/>
    <s v="MIGUEL GARRIDO"/>
    <s v="GASOLINA V-POWER"/>
    <s v="1001223688600340"/>
    <n v="13.51"/>
    <n v="3918.4"/>
    <n v="0"/>
    <n v="3918.4"/>
    <n v="290.10039999999998"/>
    <n v="6"/>
    <n v="284.10039999999998"/>
    <n v="3838.1964039999998"/>
  </r>
  <r>
    <x v="11"/>
    <s v="MIGUEL GARRIDO"/>
    <s v="GASOLINA V-POWER"/>
    <s v="1001223688600340"/>
    <n v="11.22"/>
    <n v="3255.2"/>
    <n v="0"/>
    <n v="3255.2"/>
    <n v="290.10039999999998"/>
    <n v="6"/>
    <n v="284.10039999999998"/>
    <n v="3187.6064879999999"/>
  </r>
  <r>
    <x v="12"/>
    <s v="MIGUEL GARRIDO"/>
    <s v="GASOLINA V-POWER"/>
    <s v="1001223688600340"/>
    <n v="3.07"/>
    <n v="890"/>
    <n v="0"/>
    <n v="890"/>
    <n v="290.10039999999998"/>
    <n v="6"/>
    <n v="284.10039999999998"/>
    <n v="872.18822799999987"/>
  </r>
  <r>
    <x v="10"/>
    <s v="KATHERINE E. BATISTA C."/>
    <s v="DIESEL REGULAR"/>
    <s v="1001266869900130"/>
    <n v="51.01"/>
    <n v="11303"/>
    <n v="0"/>
    <n v="11303"/>
    <n v="221.59520000000001"/>
    <n v="6"/>
    <n v="215.59520000000001"/>
    <n v="10997.511151999999"/>
  </r>
  <r>
    <x v="22"/>
    <s v="MIGUEL A. RAMIREZ A."/>
    <s v="GASOLINA V-POWER"/>
    <s v="1001278957822341"/>
    <n v="3.45"/>
    <n v="1000"/>
    <n v="0"/>
    <n v="1000"/>
    <n v="290.10039999999998"/>
    <n v="6"/>
    <n v="284.10039999999998"/>
    <n v="980.14638000000002"/>
  </r>
  <r>
    <x v="0"/>
    <s v="MIGUEL A. RAMIREZ A."/>
    <s v="GASOLINA V-POWER"/>
    <s v="1001278957822341"/>
    <n v="8.2200000000000006"/>
    <n v="2385"/>
    <n v="0"/>
    <n v="2385"/>
    <n v="290.10039999999998"/>
    <n v="6"/>
    <n v="284.10039999999998"/>
    <n v="2335.305288"/>
  </r>
  <r>
    <x v="16"/>
    <s v="MIGUEL A. RAMIREZ A."/>
    <s v="GASOLINA V-POWER"/>
    <s v="1001278957822341"/>
    <n v="8.69"/>
    <n v="2520"/>
    <n v="0"/>
    <n v="2520"/>
    <n v="290.10039999999998"/>
    <n v="6"/>
    <n v="284.10039999999998"/>
    <n v="2468.8324759999996"/>
  </r>
  <r>
    <x v="9"/>
    <s v="JOSE R. VILLANUEVA"/>
    <s v="DIESEL REGULAR"/>
    <s v="1001320894724083"/>
    <n v="42.87"/>
    <n v="9500"/>
    <n v="0"/>
    <n v="9500"/>
    <n v="221.59520000000001"/>
    <n v="6"/>
    <n v="215.59520000000001"/>
    <n v="9242.5662240000001"/>
  </r>
  <r>
    <x v="2"/>
    <s v="JOSE R. VILLANUEVA"/>
    <s v="DIESEL REGULAR"/>
    <s v="1001320894724083"/>
    <n v="24.82"/>
    <n v="5500"/>
    <n v="0"/>
    <n v="5500"/>
    <n v="221.59520000000001"/>
    <n v="6"/>
    <n v="215.59520000000001"/>
    <n v="5351.0728639999998"/>
  </r>
  <r>
    <x v="22"/>
    <s v="ANGEL TERRERO"/>
    <s v="DIESEL V-POWER"/>
    <s v="1001358646580732"/>
    <n v="19.510000000000002"/>
    <n v="4666"/>
    <n v="0"/>
    <n v="4666"/>
    <n v="239.10159999999999"/>
    <n v="6"/>
    <n v="233.10159999999999"/>
    <n v="4547.8122160000003"/>
  </r>
  <r>
    <x v="13"/>
    <s v="ANGEL TERRERO"/>
    <s v="DIESEL V-POWER"/>
    <s v="1001358646580732"/>
    <n v="20.079999999999998"/>
    <n v="4800"/>
    <n v="0"/>
    <n v="4800"/>
    <n v="239.10159999999999"/>
    <n v="6"/>
    <n v="233.10159999999999"/>
    <n v="4680.6801279999991"/>
  </r>
  <r>
    <x v="23"/>
    <s v="ANGEL TERRERO"/>
    <s v="DIESEL V-POWER"/>
    <s v="1001358646580732"/>
    <n v="16.46"/>
    <n v="3935"/>
    <n v="0"/>
    <n v="3935"/>
    <n v="239.10159999999999"/>
    <n v="6"/>
    <n v="233.10159999999999"/>
    <n v="3836.8523359999999"/>
  </r>
  <r>
    <x v="20"/>
    <s v="ANGEL TERRERO"/>
    <s v="DIESEL V-POWER"/>
    <s v="1001358646580732"/>
    <n v="7.11"/>
    <n v="1700"/>
    <n v="0"/>
    <n v="1700"/>
    <n v="239.10159999999999"/>
    <n v="6"/>
    <n v="233.10159999999999"/>
    <n v="1657.352376"/>
  </r>
  <r>
    <x v="6"/>
    <s v="ANGEL TERRERO"/>
    <s v="DIESEL V-POWER"/>
    <s v="1001358646580732"/>
    <n v="18.670000000000002"/>
    <n v="4465"/>
    <n v="0"/>
    <n v="4465"/>
    <n v="239.10159999999999"/>
    <n v="6"/>
    <n v="233.10159999999999"/>
    <n v="4352.0068719999999"/>
  </r>
  <r>
    <x v="24"/>
    <s v="ANGEL TERRERO"/>
    <s v="GASOLINA V-POWER"/>
    <s v="1001358646580732"/>
    <n v="2.82"/>
    <n v="817"/>
    <n v="0"/>
    <n v="817"/>
    <n v="290.10039999999998"/>
    <n v="6"/>
    <n v="284.10039999999998"/>
    <n v="801.16312799999992"/>
  </r>
  <r>
    <x v="16"/>
    <s v="GEORGE W. GUERRERO"/>
    <s v="GASOLINA REGULAR"/>
    <s v="1001459944150141"/>
    <n v="4.09"/>
    <n v="1115"/>
    <n v="0"/>
    <n v="1115"/>
    <n v="272.50659999999999"/>
    <n v="6"/>
    <n v="266.50659999999999"/>
    <n v="1090.011994"/>
  </r>
  <r>
    <x v="0"/>
    <s v="GEORGE W. GUERRERO"/>
    <s v="GASOLINA REGULAR"/>
    <s v="1001459944150141"/>
    <n v="10.63"/>
    <n v="2897"/>
    <n v="0"/>
    <n v="2897"/>
    <n v="272.50659999999999"/>
    <n v="6"/>
    <n v="266.50659999999999"/>
    <n v="2832.965158"/>
  </r>
  <r>
    <x v="1"/>
    <s v="GEORGE W. GUERRERO"/>
    <s v="GASOLINA REGULAR"/>
    <s v="1001459944150141"/>
    <n v="3.67"/>
    <n v="1000"/>
    <n v="0"/>
    <n v="1000"/>
    <n v="272.50659999999999"/>
    <n v="6"/>
    <n v="266.50659999999999"/>
    <n v="978.07922199999996"/>
  </r>
  <r>
    <x v="9"/>
    <s v="JOAN L. ALMONTE T."/>
    <s v="GASOLINA V-POWER"/>
    <s v="1001596866031163"/>
    <n v="6.89"/>
    <n v="2000"/>
    <n v="0"/>
    <n v="2000"/>
    <n v="290.10039999999998"/>
    <n v="6"/>
    <n v="284.10039999999998"/>
    <n v="1957.4517559999997"/>
  </r>
  <r>
    <x v="16"/>
    <s v="TRANSPORTE A R W SRL"/>
    <s v="DIESEL V-POWER"/>
    <s v="1001670014520862"/>
    <n v="13.12"/>
    <n v="3138"/>
    <n v="0"/>
    <n v="3138"/>
    <n v="239.10159999999999"/>
    <n v="6"/>
    <n v="233.10159999999999"/>
    <n v="3058.2929919999997"/>
  </r>
  <r>
    <x v="0"/>
    <s v="TRANSPORTE A R W SRL"/>
    <s v="DIESEL V-POWER"/>
    <s v="1001670014520862"/>
    <n v="2.89"/>
    <n v="691"/>
    <n v="0"/>
    <n v="691"/>
    <n v="239.10159999999999"/>
    <n v="6"/>
    <n v="233.10159999999999"/>
    <n v="673.66362400000003"/>
  </r>
  <r>
    <x v="13"/>
    <s v="TRANSPORTE A R W SRL"/>
    <s v="DIESEL V-POWER"/>
    <s v="1001670014520862"/>
    <n v="4.18"/>
    <n v="1000"/>
    <n v="0"/>
    <n v="1000"/>
    <n v="239.10159999999999"/>
    <n v="6"/>
    <n v="233.10159999999999"/>
    <n v="974.36468799999989"/>
  </r>
  <r>
    <x v="21"/>
    <s v="LOPEZ L. DISTRIBUCION SRL"/>
    <s v="DIESEL REGULAR"/>
    <s v="1001745959423967"/>
    <n v="9.0299999999999994"/>
    <n v="2000"/>
    <n v="0"/>
    <n v="2000"/>
    <n v="221.59520000000001"/>
    <n v="6"/>
    <n v="215.59520000000001"/>
    <n v="1946.824656"/>
  </r>
  <r>
    <x v="21"/>
    <s v="LOPEZ L. DISTRIBUCION SRL"/>
    <s v="DIESEL REGULAR"/>
    <s v="1001745959423967"/>
    <n v="15.79"/>
    <n v="3500"/>
    <n v="0"/>
    <n v="3500"/>
    <n v="221.59520000000001"/>
    <n v="6"/>
    <n v="215.59520000000001"/>
    <n v="3404.248208"/>
  </r>
  <r>
    <x v="8"/>
    <s v="KELVIN ACOSTA"/>
    <s v="DIESEL REGULAR"/>
    <s v="1001764343245400"/>
    <n v="31.59"/>
    <n v="7000"/>
    <n v="0"/>
    <n v="7000"/>
    <n v="221.59520000000001"/>
    <n v="6"/>
    <n v="215.59520000000001"/>
    <n v="6810.652368"/>
  </r>
  <r>
    <x v="0"/>
    <s v="KELVIN ACOSTA"/>
    <s v="DIESEL REGULAR"/>
    <s v="1001764343245400"/>
    <n v="31.14"/>
    <n v="6900"/>
    <n v="0"/>
    <n v="6900"/>
    <n v="221.59520000000001"/>
    <n v="6"/>
    <n v="215.59520000000001"/>
    <n v="6713.6345280000005"/>
  </r>
  <r>
    <x v="10"/>
    <s v="KELVIN ACOSTA"/>
    <s v="DIESEL REGULAR"/>
    <s v="1001764343245400"/>
    <n v="28.66"/>
    <n v="6350.4"/>
    <n v="0"/>
    <n v="6350.4"/>
    <n v="221.59520000000001"/>
    <n v="6"/>
    <n v="215.59520000000001"/>
    <n v="6178.9584320000004"/>
  </r>
  <r>
    <x v="22"/>
    <s v="KELVIN ACOSTA"/>
    <s v="DIESEL REGULAR"/>
    <s v="1001764343245400"/>
    <n v="29.55"/>
    <n v="6548"/>
    <n v="0"/>
    <n v="6548"/>
    <n v="221.59520000000001"/>
    <n v="6"/>
    <n v="215.59520000000001"/>
    <n v="6370.8381600000002"/>
  </r>
  <r>
    <x v="15"/>
    <s v="KELVIN ACOSTA"/>
    <s v="DIESEL REGULAR"/>
    <s v="1001764343245400"/>
    <n v="22.56"/>
    <n v="5000"/>
    <n v="0"/>
    <n v="5000"/>
    <n v="221.59520000000001"/>
    <n v="6"/>
    <n v="215.59520000000001"/>
    <n v="4863.8277120000002"/>
  </r>
  <r>
    <x v="16"/>
    <s v="KELVIN ACOSTA"/>
    <s v="DIESEL REGULAR"/>
    <s v="1001764343245400"/>
    <n v="29.78"/>
    <n v="6600"/>
    <n v="0"/>
    <n v="6600"/>
    <n v="221.59520000000001"/>
    <n v="6"/>
    <n v="215.59520000000001"/>
    <n v="6420.425056"/>
  </r>
  <r>
    <x v="2"/>
    <s v="KELVIN ACOSTA"/>
    <s v="DIESEL REGULAR"/>
    <s v="1001764343245400"/>
    <n v="28.43"/>
    <n v="6300"/>
    <n v="0"/>
    <n v="6300"/>
    <n v="221.59520000000001"/>
    <n v="6"/>
    <n v="215.59520000000001"/>
    <n v="6129.3715359999997"/>
  </r>
  <r>
    <x v="12"/>
    <s v="KELVIN ACOSTA"/>
    <s v="DIESEL REGULAR"/>
    <s v="1001764343245400"/>
    <n v="22.56"/>
    <n v="5000"/>
    <n v="0"/>
    <n v="5000"/>
    <n v="221.59520000000001"/>
    <n v="6"/>
    <n v="215.59520000000001"/>
    <n v="4863.8277120000002"/>
  </r>
  <r>
    <x v="13"/>
    <s v="KELVIN ACOSTA"/>
    <s v="DIESEL REGULAR"/>
    <s v="1001764343245400"/>
    <n v="29.78"/>
    <n v="6600"/>
    <n v="0"/>
    <n v="6600"/>
    <n v="221.59520000000001"/>
    <n v="6"/>
    <n v="215.59520000000001"/>
    <n v="6420.425056"/>
  </r>
  <r>
    <x v="3"/>
    <s v="KELVIN ACOSTA"/>
    <s v="DIESEL REGULAR"/>
    <s v="1001764343245400"/>
    <n v="32.270000000000003"/>
    <n v="7150"/>
    <n v="0"/>
    <n v="7150"/>
    <n v="221.59520000000001"/>
    <n v="6"/>
    <n v="215.59520000000001"/>
    <n v="6957.2571040000012"/>
  </r>
  <r>
    <x v="25"/>
    <s v="KELVIN ACOSTA"/>
    <s v="DIESEL REGULAR"/>
    <s v="1001764343245400"/>
    <n v="31.59"/>
    <n v="7000.8"/>
    <n v="0"/>
    <n v="7000.8"/>
    <n v="221.59520000000001"/>
    <n v="6"/>
    <n v="215.59520000000001"/>
    <n v="6810.652368"/>
  </r>
  <r>
    <x v="4"/>
    <s v="KELVIN ACOSTA"/>
    <s v="DIESEL REGULAR"/>
    <s v="1001764343245400"/>
    <n v="28.65"/>
    <n v="6349"/>
    <n v="0"/>
    <n v="6349"/>
    <n v="221.59520000000001"/>
    <n v="6"/>
    <n v="215.59520000000001"/>
    <n v="6176.8024800000003"/>
  </r>
  <r>
    <x v="6"/>
    <s v="KELVIN ACOSTA"/>
    <s v="DIESEL REGULAR"/>
    <s v="1001764343245400"/>
    <n v="31.59"/>
    <n v="7000"/>
    <n v="0"/>
    <n v="7000"/>
    <n v="221.59520000000001"/>
    <n v="6"/>
    <n v="215.59520000000001"/>
    <n v="6810.652368"/>
  </r>
  <r>
    <x v="21"/>
    <s v="KELVIN ACOSTA"/>
    <s v="DIESEL REGULAR"/>
    <s v="1001764343245400"/>
    <n v="24.14"/>
    <n v="5350"/>
    <n v="0"/>
    <n v="5350"/>
    <n v="221.59520000000001"/>
    <n v="6"/>
    <n v="215.59520000000001"/>
    <n v="5204.4681280000004"/>
  </r>
  <r>
    <x v="26"/>
    <s v="FLORENTINO GUZMAN"/>
    <s v="DIESEL V-POWER"/>
    <s v="1001812017798789"/>
    <n v="8.36"/>
    <n v="2000"/>
    <n v="0"/>
    <n v="2000"/>
    <n v="239.10159999999999"/>
    <n v="6"/>
    <n v="233.10159999999999"/>
    <n v="1948.7293759999998"/>
  </r>
  <r>
    <x v="8"/>
    <s v="FLORENTINO GUZMAN"/>
    <s v="GASOLINA V-POWER"/>
    <s v="1001812017798789"/>
    <n v="10.34"/>
    <n v="3000"/>
    <n v="0"/>
    <n v="3000"/>
    <n v="290.10039999999998"/>
    <n v="6"/>
    <n v="284.10039999999998"/>
    <n v="2937.5981359999996"/>
  </r>
  <r>
    <x v="15"/>
    <s v="FLORENTINO GUZMAN"/>
    <s v="DIESEL V-POWER"/>
    <s v="1001812017798789"/>
    <n v="27.19"/>
    <n v="6500"/>
    <n v="0"/>
    <n v="6500"/>
    <n v="239.10159999999999"/>
    <n v="6"/>
    <n v="233.10159999999999"/>
    <n v="6338.0325039999998"/>
  </r>
  <r>
    <x v="3"/>
    <s v="FLORENTINO GUZMAN"/>
    <s v="GASOLINA V-POWER"/>
    <s v="1001812017798789"/>
    <n v="22.41"/>
    <n v="6500"/>
    <n v="0"/>
    <n v="6500"/>
    <n v="290.10039999999998"/>
    <n v="6"/>
    <n v="284.10039999999998"/>
    <n v="6366.6899639999992"/>
  </r>
  <r>
    <x v="23"/>
    <s v="FLORENTINO GUZMAN"/>
    <s v="GASOLINA V-POWER"/>
    <s v="1001812017798789"/>
    <n v="18.61"/>
    <n v="5400"/>
    <n v="0"/>
    <n v="5400"/>
    <n v="290.10039999999998"/>
    <n v="6"/>
    <n v="284.10039999999998"/>
    <n v="5287.1084439999995"/>
  </r>
  <r>
    <x v="23"/>
    <s v="FLORENTINO GUZMAN"/>
    <s v="DIESEL V-POWER"/>
    <s v="1001812017798789"/>
    <n v="12.97"/>
    <n v="3100"/>
    <n v="0"/>
    <n v="3100"/>
    <n v="239.10159999999999"/>
    <n v="6"/>
    <n v="233.10159999999999"/>
    <n v="3023.3277520000001"/>
  </r>
  <r>
    <x v="14"/>
    <s v="FLORENTINO GUZMAN"/>
    <s v="DIESEL V-POWER"/>
    <s v="1001812017798789"/>
    <n v="29.28"/>
    <n v="7000"/>
    <n v="0"/>
    <n v="7000"/>
    <n v="239.10159999999999"/>
    <n v="6"/>
    <n v="233.10159999999999"/>
    <n v="6825.2148479999996"/>
  </r>
  <r>
    <x v="6"/>
    <s v="FLORENTINO GUZMAN"/>
    <s v="GASOLINA V-POWER"/>
    <s v="1001812017798789"/>
    <n v="20.68"/>
    <n v="6000"/>
    <n v="0"/>
    <n v="6000"/>
    <n v="290.10039999999998"/>
    <n v="6"/>
    <n v="284.10039999999998"/>
    <n v="5875.1962719999992"/>
  </r>
  <r>
    <x v="5"/>
    <s v="FLORENTINO GUZMAN"/>
    <s v="DIESEL REGULAR"/>
    <s v="1001812017798789"/>
    <n v="9.0299999999999994"/>
    <n v="2000"/>
    <n v="0"/>
    <n v="2000"/>
    <n v="221.59520000000001"/>
    <n v="6"/>
    <n v="215.59520000000001"/>
    <n v="1946.824656"/>
  </r>
  <r>
    <x v="9"/>
    <s v="MIGUEL A. MARTINEZ"/>
    <s v="GASOLINA V-POWER"/>
    <s v="1001943191424498"/>
    <n v="13.68"/>
    <n v="3970"/>
    <n v="0"/>
    <n v="3970"/>
    <n v="290.10039999999998"/>
    <n v="6"/>
    <n v="284.10039999999998"/>
    <n v="3886.4934719999997"/>
  </r>
  <r>
    <x v="2"/>
    <s v="JARH LOGISTICS &amp; TRANSP. SRL"/>
    <s v="DIESEL REGULAR"/>
    <s v="1001956158605955"/>
    <n v="45.12"/>
    <n v="9999"/>
    <n v="0"/>
    <n v="9999"/>
    <n v="221.59520000000001"/>
    <n v="6"/>
    <n v="215.59520000000001"/>
    <n v="9727.6554240000005"/>
  </r>
  <r>
    <x v="2"/>
    <s v="JARH LOGISTICS &amp; TRANSP. SRL"/>
    <s v="DIESEL REGULAR"/>
    <s v="1001956158605955"/>
    <n v="45.12"/>
    <n v="9999"/>
    <n v="0"/>
    <n v="9999"/>
    <n v="221.59520000000001"/>
    <n v="6"/>
    <n v="215.59520000000001"/>
    <n v="9727.6554240000005"/>
  </r>
  <r>
    <x v="23"/>
    <s v="JARH LOGISTICS &amp; TRANSP. SRL"/>
    <s v="GASOLINA V-POWER"/>
    <s v="1001956158605955"/>
    <n v="17.239999999999998"/>
    <n v="5000"/>
    <n v="0"/>
    <n v="5000"/>
    <n v="290.10039999999998"/>
    <n v="6"/>
    <n v="284.10039999999998"/>
    <n v="4897.890895999999"/>
  </r>
  <r>
    <x v="6"/>
    <s v="JUAN A. ALBERTO P."/>
    <s v="GASOLINA V-POWER"/>
    <s v="1001112694930630"/>
    <n v="34.47"/>
    <n v="10000"/>
    <n v="0"/>
    <n v="10000"/>
    <n v="290.10039999999998"/>
    <n v="6"/>
    <n v="284.10039999999998"/>
    <n v="9792.9407879999981"/>
  </r>
  <r>
    <x v="6"/>
    <s v="JUAN A. ALBERTO P."/>
    <s v="GASOLINA REGULAR"/>
    <s v="1001112694930630"/>
    <n v="18.350000000000001"/>
    <n v="5000"/>
    <n v="0"/>
    <n v="5000"/>
    <n v="272.50659999999999"/>
    <n v="6"/>
    <n v="266.50659999999999"/>
    <n v="4890.3961100000006"/>
  </r>
  <r>
    <x v="2"/>
    <s v="JUAN A. ALBERTO P."/>
    <s v="GASOLINA V-POWER"/>
    <s v="1001112694930630"/>
    <n v="18.96"/>
    <n v="5500"/>
    <n v="0"/>
    <n v="5500"/>
    <n v="290.10039999999998"/>
    <n v="6"/>
    <n v="284.10039999999998"/>
    <n v="5386.543584"/>
  </r>
  <r>
    <x v="2"/>
    <s v="JUAN A. ALBERTO P."/>
    <s v="GASOLINA REGULAR"/>
    <s v="1001112694930630"/>
    <n v="7.34"/>
    <n v="2000"/>
    <n v="0"/>
    <n v="2000"/>
    <n v="272.50659999999999"/>
    <n v="6"/>
    <n v="266.50659999999999"/>
    <n v="1956.1584439999999"/>
  </r>
  <r>
    <x v="23"/>
    <s v="SANDY A. FERRERAS F."/>
    <s v="GASOLINA V-POWER"/>
    <s v="1001158242073113"/>
    <n v="3.45"/>
    <n v="1000"/>
    <n v="0"/>
    <n v="1000"/>
    <n v="290.10039999999998"/>
    <n v="6"/>
    <n v="284.10039999999998"/>
    <n v="980.14638000000002"/>
  </r>
  <r>
    <x v="19"/>
    <s v="SANDY A. FERRERAS F."/>
    <s v="GASOLINA V-POWER"/>
    <s v="1001158242073113"/>
    <n v="5.17"/>
    <n v="1500"/>
    <n v="0"/>
    <n v="1500"/>
    <n v="290.10039999999998"/>
    <n v="6"/>
    <n v="284.10039999999998"/>
    <n v="1468.7990679999998"/>
  </r>
  <r>
    <x v="27"/>
    <s v="ENMANUEL HICIANDO F."/>
    <s v="DIESEL REGULAR"/>
    <s v="1001243483266022"/>
    <n v="14.42"/>
    <n v="3196"/>
    <n v="0"/>
    <n v="3196"/>
    <n v="221.59520000000001"/>
    <n v="6"/>
    <n v="215.59520000000001"/>
    <n v="3108.8827839999999"/>
  </r>
  <r>
    <x v="10"/>
    <s v="ENMANUEL HICIANDO F."/>
    <s v="GASOLINA V-POWER"/>
    <s v="1001243483266022"/>
    <n v="2.0699999999999998"/>
    <n v="600"/>
    <n v="0"/>
    <n v="600"/>
    <n v="290.10039999999998"/>
    <n v="6"/>
    <n v="284.10039999999998"/>
    <n v="588.08782799999994"/>
  </r>
  <r>
    <x v="0"/>
    <s v="ENMANUEL HICIANDO F."/>
    <s v="DIESEL REGULAR"/>
    <s v="1001243483266022"/>
    <n v="27.08"/>
    <n v="6000"/>
    <n v="0"/>
    <n v="6000"/>
    <n v="221.59520000000001"/>
    <n v="6"/>
    <n v="215.59520000000001"/>
    <n v="5838.3180160000002"/>
  </r>
  <r>
    <x v="11"/>
    <s v="ENMANUEL HICIANDO F."/>
    <s v="DIESEL REGULAR"/>
    <s v="1001243483266022"/>
    <n v="8.1199999999999992"/>
    <n v="1800"/>
    <n v="0"/>
    <n v="1800"/>
    <n v="221.59520000000001"/>
    <n v="6"/>
    <n v="215.59520000000001"/>
    <n v="1750.633024"/>
  </r>
  <r>
    <x v="27"/>
    <s v="ENMANUEL HICIANDO F."/>
    <s v="DIESEL REGULAR"/>
    <s v="1001243483266022"/>
    <n v="21.21"/>
    <n v="4700"/>
    <n v="0"/>
    <n v="4700"/>
    <n v="221.59520000000001"/>
    <n v="6"/>
    <n v="215.59520000000001"/>
    <n v="4572.7741919999999"/>
  </r>
  <r>
    <x v="25"/>
    <s v="ENMANUEL HICIANDO F."/>
    <s v="DIESEL REGULAR"/>
    <s v="1001243483266022"/>
    <n v="27.08"/>
    <n v="6000"/>
    <n v="0"/>
    <n v="6000"/>
    <n v="221.59520000000001"/>
    <n v="6"/>
    <n v="215.59520000000001"/>
    <n v="5838.3180160000002"/>
  </r>
  <r>
    <x v="18"/>
    <s v="ENMANUEL HICIANDO F."/>
    <s v="DIESEL REGULAR"/>
    <s v="1001243483266022"/>
    <n v="19.38"/>
    <n v="4294"/>
    <n v="0"/>
    <n v="4294"/>
    <n v="221.59520000000001"/>
    <n v="6"/>
    <n v="215.59520000000001"/>
    <n v="4178.2349759999997"/>
  </r>
  <r>
    <x v="9"/>
    <s v="ENMANUEL HICIANDO F."/>
    <s v="DIESEL REGULAR"/>
    <s v="1001243483266022"/>
    <n v="19.399999999999999"/>
    <n v="4299.5"/>
    <n v="0"/>
    <n v="4299.5"/>
    <n v="221.59520000000001"/>
    <n v="6"/>
    <n v="215.59520000000001"/>
    <n v="4182.5468799999999"/>
  </r>
  <r>
    <x v="15"/>
    <s v="ENMANUEL HICIANDO F."/>
    <s v="DIESEL REGULAR"/>
    <s v="1001243483266022"/>
    <n v="16.25"/>
    <n v="3600"/>
    <n v="0"/>
    <n v="3600"/>
    <n v="221.59520000000001"/>
    <n v="6"/>
    <n v="215.59520000000001"/>
    <n v="3503.422"/>
  </r>
  <r>
    <x v="15"/>
    <s v="KATHERINE E. BATISTA C."/>
    <s v="DIESEL V-POWER"/>
    <s v="1001266869900130"/>
    <n v="36.450000000000003"/>
    <n v="8715"/>
    <n v="0"/>
    <n v="8715"/>
    <n v="239.10159999999999"/>
    <n v="6"/>
    <n v="233.10159999999999"/>
    <n v="8496.5533200000009"/>
  </r>
  <r>
    <x v="23"/>
    <s v="MIGUEL A. RAMIREZ A."/>
    <s v="GASOLINA V-POWER"/>
    <s v="1001278957822341"/>
    <n v="4.59"/>
    <n v="1333"/>
    <n v="0"/>
    <n v="1333"/>
    <n v="290.10039999999998"/>
    <n v="6"/>
    <n v="284.10039999999998"/>
    <n v="1304.0208359999999"/>
  </r>
  <r>
    <x v="6"/>
    <s v="MIGUEL A. RAMIREZ A."/>
    <s v="GASOLINA V-POWER"/>
    <s v="1001278957822341"/>
    <n v="9.85"/>
    <n v="2857"/>
    <n v="0"/>
    <n v="2857"/>
    <n v="290.10039999999998"/>
    <n v="6"/>
    <n v="284.10039999999998"/>
    <n v="2798.3889399999998"/>
  </r>
  <r>
    <x v="3"/>
    <s v="MIGUEL A. RAMIREZ A."/>
    <s v="GASOLINA V-POWER"/>
    <s v="1001278957822341"/>
    <n v="9.52"/>
    <n v="2762"/>
    <n v="0"/>
    <n v="2762"/>
    <n v="290.10039999999998"/>
    <n v="6"/>
    <n v="284.10039999999998"/>
    <n v="2704.6358079999995"/>
  </r>
  <r>
    <x v="7"/>
    <s v="MIGUEL A. RAMIREZ A."/>
    <s v="GASOLINA V-POWER"/>
    <s v="1001278957822341"/>
    <n v="8.52"/>
    <n v="2473"/>
    <n v="0"/>
    <n v="2473"/>
    <n v="290.10039999999998"/>
    <n v="6"/>
    <n v="284.10039999999998"/>
    <n v="2420.5354079999997"/>
  </r>
  <r>
    <x v="17"/>
    <s v="MANUEL A. MALDONADO N."/>
    <s v="DIESEL V-POWER"/>
    <s v="1001288367533385"/>
    <n v="11.92"/>
    <n v="2849"/>
    <n v="0"/>
    <n v="2849"/>
    <n v="239.10159999999999"/>
    <n v="6"/>
    <n v="233.10159999999999"/>
    <n v="2778.5710719999997"/>
  </r>
  <r>
    <x v="24"/>
    <s v="MANUEL A. MALDONADO N."/>
    <s v="DIESEL V-POWER"/>
    <s v="1001288367533385"/>
    <n v="4.3499999999999996"/>
    <n v="1040"/>
    <n v="0"/>
    <n v="1040"/>
    <n v="239.10159999999999"/>
    <n v="6"/>
    <n v="233.10159999999999"/>
    <n v="1013.9919599999998"/>
  </r>
  <r>
    <x v="24"/>
    <s v="MANUEL A. MALDONADO N."/>
    <s v="DIESEL REGULAR"/>
    <s v="1001288367533385"/>
    <n v="14.4"/>
    <n v="3192"/>
    <n v="0"/>
    <n v="3192"/>
    <n v="221.59520000000001"/>
    <n v="6"/>
    <n v="215.59520000000001"/>
    <n v="3104.5708800000002"/>
  </r>
  <r>
    <x v="5"/>
    <s v="MANUEL A. MALDONADO N."/>
    <s v="DIESEL V-POWER"/>
    <s v="1001288367533385"/>
    <n v="12.37"/>
    <n v="2957"/>
    <n v="0"/>
    <n v="2957"/>
    <n v="239.10159999999999"/>
    <n v="6"/>
    <n v="233.10159999999999"/>
    <n v="2883.4667919999997"/>
  </r>
  <r>
    <x v="2"/>
    <s v="MANUEL A. MALDONADO N."/>
    <s v="GASOLINA V-POWER"/>
    <s v="1001288367533385"/>
    <n v="12.07"/>
    <n v="3500.4"/>
    <n v="0"/>
    <n v="3500.4"/>
    <n v="290.10039999999998"/>
    <n v="6"/>
    <n v="284.10039999999998"/>
    <n v="3429.0918279999996"/>
  </r>
  <r>
    <x v="20"/>
    <s v="MANUEL A. MALDONADO N."/>
    <s v="DIESEL V-POWER"/>
    <s v="1001288367533385"/>
    <n v="6.27"/>
    <n v="1500"/>
    <n v="0"/>
    <n v="1500"/>
    <n v="239.10159999999999"/>
    <n v="6"/>
    <n v="233.10159999999999"/>
    <n v="1461.5470319999999"/>
  </r>
  <r>
    <x v="3"/>
    <s v="MANUEL A. MALDONADO N."/>
    <s v="DIESEL V-POWER"/>
    <s v="1001288367533385"/>
    <n v="15.27"/>
    <n v="3651"/>
    <n v="0"/>
    <n v="3651"/>
    <n v="239.10159999999999"/>
    <n v="6"/>
    <n v="233.10159999999999"/>
    <n v="3559.4614319999996"/>
  </r>
  <r>
    <x v="18"/>
    <s v="MANUEL A. MALDONADO N."/>
    <s v="DIESEL V-POWER"/>
    <s v="1001288367533385"/>
    <n v="13.38"/>
    <n v="3200"/>
    <n v="0"/>
    <n v="3200"/>
    <n v="239.10159999999999"/>
    <n v="6"/>
    <n v="233.10159999999999"/>
    <n v="3118.8994080000002"/>
  </r>
  <r>
    <x v="23"/>
    <s v="MANUEL A. MALDONADO N."/>
    <s v="DIESEL V-POWER"/>
    <s v="1001288367533385"/>
    <n v="9.89"/>
    <n v="2364"/>
    <n v="0"/>
    <n v="2364"/>
    <n v="239.10159999999999"/>
    <n v="6"/>
    <n v="233.10159999999999"/>
    <n v="2305.374824"/>
  </r>
  <r>
    <x v="18"/>
    <s v="MANUEL A. MALDONADO N."/>
    <s v="DIESEL V-POWER"/>
    <s v="1001288367533385"/>
    <n v="12.13"/>
    <n v="2900"/>
    <n v="0"/>
    <n v="2900"/>
    <n v="239.10159999999999"/>
    <n v="6"/>
    <n v="233.10159999999999"/>
    <n v="2827.5224080000003"/>
  </r>
  <r>
    <x v="9"/>
    <s v="MANUEL A. MALDONADO N."/>
    <s v="DIESEL V-POWER"/>
    <s v="1001288367533385"/>
    <n v="12.55"/>
    <n v="3000"/>
    <n v="0"/>
    <n v="3000"/>
    <n v="239.10159999999999"/>
    <n v="6"/>
    <n v="233.10159999999999"/>
    <n v="2925.42508"/>
  </r>
  <r>
    <x v="1"/>
    <s v="MANUEL A. MALDONADO N."/>
    <s v="DIESEL V-POWER"/>
    <s v="1001288367533385"/>
    <n v="12.55"/>
    <n v="3000"/>
    <n v="0"/>
    <n v="3000"/>
    <n v="239.10159999999999"/>
    <n v="6"/>
    <n v="233.10159999999999"/>
    <n v="2925.42508"/>
  </r>
  <r>
    <x v="1"/>
    <s v="MANUEL A. MALDONADO N."/>
    <s v="DIESEL V-POWER"/>
    <s v="1001288367533385"/>
    <n v="16.809999999999999"/>
    <n v="4019"/>
    <n v="0"/>
    <n v="4019"/>
    <n v="239.10159999999999"/>
    <n v="6"/>
    <n v="233.10159999999999"/>
    <n v="3918.4378959999995"/>
  </r>
  <r>
    <x v="11"/>
    <s v="ALVARO S. SANTANA T."/>
    <s v="GASOLINA V-POWER"/>
    <s v="1001297963623275"/>
    <n v="17.239999999999998"/>
    <n v="5000"/>
    <n v="0"/>
    <n v="5000"/>
    <n v="290.10039999999998"/>
    <n v="6"/>
    <n v="284.10039999999998"/>
    <n v="4897.890895999999"/>
  </r>
  <r>
    <x v="11"/>
    <s v="ALVARO S. SANTANA T."/>
    <s v="GASOLINA V-POWER"/>
    <s v="1001297963623275"/>
    <n v="17.239999999999998"/>
    <n v="5000"/>
    <n v="0"/>
    <n v="5000"/>
    <n v="290.10039999999998"/>
    <n v="6"/>
    <n v="284.10039999999998"/>
    <n v="4897.890895999999"/>
  </r>
  <r>
    <x v="0"/>
    <s v="ARACELYS CUEVAS R."/>
    <s v="GASOLINA V-POWER"/>
    <s v="1001307890061157"/>
    <n v="7.72"/>
    <n v="2240"/>
    <n v="0"/>
    <n v="2240"/>
    <n v="290.10039999999998"/>
    <n v="6"/>
    <n v="284.10039999999998"/>
    <n v="2193.2550879999999"/>
  </r>
  <r>
    <x v="1"/>
    <s v="ARACELYS CUEVAS R."/>
    <s v="GASOLINA REGULAR"/>
    <s v="1001307890061157"/>
    <n v="9.5399999999999991"/>
    <n v="2600"/>
    <n v="0"/>
    <n v="2600"/>
    <n v="272.50659999999999"/>
    <n v="6"/>
    <n v="266.50659999999999"/>
    <n v="2542.4729639999996"/>
  </r>
  <r>
    <x v="2"/>
    <s v="ARACELYS CUEVAS R."/>
    <s v="GASOLINA REGULAR"/>
    <s v="1001307890061157"/>
    <n v="2.2000000000000002"/>
    <n v="600"/>
    <n v="0"/>
    <n v="600"/>
    <n v="272.50659999999999"/>
    <n v="6"/>
    <n v="266.50659999999999"/>
    <n v="586.31452000000002"/>
  </r>
  <r>
    <x v="12"/>
    <s v="ARACELYS CUEVAS R."/>
    <s v="GASOLINA REGULAR"/>
    <s v="1001307890061157"/>
    <n v="3.71"/>
    <n v="1010"/>
    <n v="0"/>
    <n v="1010"/>
    <n v="272.50659999999999"/>
    <n v="6"/>
    <n v="266.50659999999999"/>
    <n v="988.73948599999994"/>
  </r>
  <r>
    <x v="0"/>
    <s v="ARACELYS CUEVAS R."/>
    <s v="GASOLINA REGULAR"/>
    <s v="1001307890061157"/>
    <n v="9.36"/>
    <n v="2550"/>
    <n v="0"/>
    <n v="2550"/>
    <n v="272.50659999999999"/>
    <n v="6"/>
    <n v="266.50659999999999"/>
    <n v="2494.5017759999996"/>
  </r>
  <r>
    <x v="2"/>
    <s v="ARACELYS CUEVAS R."/>
    <s v="GASOLINA REGULAR"/>
    <s v="1001307890061157"/>
    <n v="3.67"/>
    <n v="1000"/>
    <n v="0"/>
    <n v="1000"/>
    <n v="272.50659999999999"/>
    <n v="6"/>
    <n v="266.50659999999999"/>
    <n v="978.07922199999996"/>
  </r>
  <r>
    <x v="23"/>
    <s v="JOSE R. VILLANUEVA"/>
    <s v="DIESEL V-POWER"/>
    <s v="1001320894724083"/>
    <n v="37.64"/>
    <n v="9000"/>
    <n v="0"/>
    <n v="9000"/>
    <n v="239.10159999999999"/>
    <n v="6"/>
    <n v="233.10159999999999"/>
    <n v="8773.9442239999989"/>
  </r>
  <r>
    <x v="18"/>
    <s v="JOSE R. VILLANUEVA"/>
    <s v="DIESEL REGULAR"/>
    <s v="1001320894724083"/>
    <n v="39.119999999999997"/>
    <n v="8668"/>
    <n v="0"/>
    <n v="8668"/>
    <n v="221.59520000000001"/>
    <n v="6"/>
    <n v="215.59520000000001"/>
    <n v="8434.0842240000002"/>
  </r>
  <r>
    <x v="7"/>
    <s v="JOSE R. VILLANUEVA"/>
    <s v="DIESEL REGULAR"/>
    <s v="1001320894724083"/>
    <n v="45.11"/>
    <n v="9996"/>
    <n v="0"/>
    <n v="9996"/>
    <n v="221.59520000000001"/>
    <n v="6"/>
    <n v="215.59520000000001"/>
    <n v="9725.4994719999995"/>
  </r>
  <r>
    <x v="24"/>
    <s v="JHONNY JIMENEZ"/>
    <s v="GASOLINA V-POWER"/>
    <s v="1001331154220017"/>
    <n v="3.45"/>
    <n v="1000"/>
    <n v="0"/>
    <n v="1000"/>
    <n v="290.10039999999998"/>
    <n v="6"/>
    <n v="284.10039999999998"/>
    <n v="980.14638000000002"/>
  </r>
  <r>
    <x v="25"/>
    <s v="JHONNY JIMENEZ"/>
    <s v="DIESEL REGULAR"/>
    <s v="1001331154220017"/>
    <n v="67.69"/>
    <n v="15000"/>
    <n v="0"/>
    <n v="15000"/>
    <n v="221.59520000000001"/>
    <n v="6"/>
    <n v="215.59520000000001"/>
    <n v="14593.639088"/>
  </r>
  <r>
    <x v="8"/>
    <s v="PABLO BAUTISTA B."/>
    <s v="GASOLINA V-POWER"/>
    <s v="1001351712773646"/>
    <n v="18.27"/>
    <n v="5300"/>
    <n v="0"/>
    <n v="5300"/>
    <n v="290.10039999999998"/>
    <n v="6"/>
    <n v="284.10039999999998"/>
    <n v="5190.5143079999998"/>
  </r>
  <r>
    <x v="13"/>
    <s v="PABLO BAUTISTA B."/>
    <s v="DIESEL REGULAR"/>
    <s v="1001351712773646"/>
    <n v="4.51"/>
    <n v="1000"/>
    <n v="0"/>
    <n v="1000"/>
    <n v="221.59520000000001"/>
    <n v="6"/>
    <n v="215.59520000000001"/>
    <n v="972.33435199999997"/>
  </r>
  <r>
    <x v="3"/>
    <s v="PABLO BAUTISTA B."/>
    <s v="GASOLINA V-POWER"/>
    <s v="1001351712773646"/>
    <n v="21.72"/>
    <n v="6300"/>
    <n v="0"/>
    <n v="6300"/>
    <n v="290.10039999999998"/>
    <n v="6"/>
    <n v="284.10039999999998"/>
    <n v="6170.660687999999"/>
  </r>
  <r>
    <x v="10"/>
    <s v="PABLO BAUTISTA B."/>
    <s v="GASOLINA V-POWER"/>
    <s v="1001351712773646"/>
    <n v="15.17"/>
    <n v="4400"/>
    <n v="0"/>
    <n v="4400"/>
    <n v="290.10039999999998"/>
    <n v="6"/>
    <n v="284.10039999999998"/>
    <n v="4309.8030679999993"/>
  </r>
  <r>
    <x v="12"/>
    <s v="PABLO BAUTISTA B."/>
    <s v="GASOLINA V-POWER"/>
    <s v="1001351712773646"/>
    <n v="21.72"/>
    <n v="6300"/>
    <n v="0"/>
    <n v="6300"/>
    <n v="290.10039999999998"/>
    <n v="6"/>
    <n v="284.10039999999998"/>
    <n v="6170.660687999999"/>
  </r>
  <r>
    <x v="9"/>
    <s v="PABLO BAUTISTA B."/>
    <s v="GASOLINA V-POWER"/>
    <s v="1001351712773646"/>
    <n v="18.27"/>
    <n v="5300"/>
    <n v="0"/>
    <n v="5300"/>
    <n v="290.10039999999998"/>
    <n v="6"/>
    <n v="284.10039999999998"/>
    <n v="5190.5143079999998"/>
  </r>
  <r>
    <x v="24"/>
    <s v="PABLO BAUTISTA B."/>
    <s v="DIESEL V-POWER"/>
    <s v="1001351712773646"/>
    <n v="5.86"/>
    <n v="1400"/>
    <n v="0"/>
    <n v="1400"/>
    <n v="239.10159999999999"/>
    <n v="6"/>
    <n v="233.10159999999999"/>
    <n v="1365.9753760000001"/>
  </r>
  <r>
    <x v="10"/>
    <s v="WANDER A. GARCIA"/>
    <s v="GASOLINA V-POWER"/>
    <s v="1001407844485295"/>
    <n v="29.3"/>
    <n v="8500"/>
    <n v="0"/>
    <n v="8500"/>
    <n v="290.10039999999998"/>
    <n v="6"/>
    <n v="284.10039999999998"/>
    <n v="8324.1417199999996"/>
  </r>
  <r>
    <x v="8"/>
    <s v="WANDER A. GARCIA"/>
    <s v="DIESEL V-POWER"/>
    <s v="1001407844485295"/>
    <n v="16.73"/>
    <n v="4000"/>
    <n v="0"/>
    <n v="4000"/>
    <n v="239.10159999999999"/>
    <n v="6"/>
    <n v="233.10159999999999"/>
    <n v="3899.7897680000001"/>
  </r>
  <r>
    <x v="13"/>
    <s v="WANDER A. GARCIA"/>
    <s v="DIESEL V-POWER"/>
    <s v="1001407844485295"/>
    <n v="8.36"/>
    <n v="2000"/>
    <n v="0"/>
    <n v="2000"/>
    <n v="239.10159999999999"/>
    <n v="6"/>
    <n v="233.10159999999999"/>
    <n v="1948.7293759999998"/>
  </r>
  <r>
    <x v="27"/>
    <s v="WANDER A. GARCIA"/>
    <s v="DIESEL REGULAR"/>
    <s v="1001407844485295"/>
    <n v="13.54"/>
    <n v="3000"/>
    <n v="0"/>
    <n v="3000"/>
    <n v="221.59520000000001"/>
    <n v="6"/>
    <n v="215.59520000000001"/>
    <n v="2919.1590080000001"/>
  </r>
  <r>
    <x v="15"/>
    <s v="WANDER A. GARCIA"/>
    <s v="DIESEL V-POWER"/>
    <s v="1001407844485295"/>
    <n v="10.46"/>
    <n v="2500"/>
    <n v="0"/>
    <n v="2500"/>
    <n v="239.10159999999999"/>
    <n v="6"/>
    <n v="233.10159999999999"/>
    <n v="2438.2427360000001"/>
  </r>
  <r>
    <x v="2"/>
    <s v="WANDER A. GARCIA"/>
    <s v="DIESEL REGULAR"/>
    <s v="1001407844485295"/>
    <n v="18.05"/>
    <n v="4000"/>
    <n v="0"/>
    <n v="4000"/>
    <n v="221.59520000000001"/>
    <n v="6"/>
    <n v="215.59520000000001"/>
    <n v="3891.4933600000004"/>
  </r>
  <r>
    <x v="18"/>
    <s v="WANDER A. GARCIA"/>
    <s v="DIESEL REGULAR"/>
    <s v="1001407844485295"/>
    <n v="22.56"/>
    <n v="5000"/>
    <n v="0"/>
    <n v="5000"/>
    <n v="221.59520000000001"/>
    <n v="6"/>
    <n v="215.59520000000001"/>
    <n v="4863.8277120000002"/>
  </r>
  <r>
    <x v="26"/>
    <s v="WANDER A. GARCIA"/>
    <s v="DIESEL REGULAR"/>
    <s v="1001407844485295"/>
    <n v="4.51"/>
    <n v="1000"/>
    <n v="0"/>
    <n v="1000"/>
    <n v="221.59520000000001"/>
    <n v="6"/>
    <n v="215.59520000000001"/>
    <n v="972.33435199999997"/>
  </r>
  <r>
    <x v="9"/>
    <s v="WANDER A. GARCIA"/>
    <s v="DIESEL V-POWER"/>
    <s v="1001407844485295"/>
    <n v="4.18"/>
    <n v="1000"/>
    <n v="0"/>
    <n v="1000"/>
    <n v="239.10159999999999"/>
    <n v="6"/>
    <n v="233.10159999999999"/>
    <n v="974.36468799999989"/>
  </r>
  <r>
    <x v="4"/>
    <s v="WANDER A. GARCIA"/>
    <s v="DIESEL V-POWER"/>
    <s v="1001407844485295"/>
    <n v="6.27"/>
    <n v="1500"/>
    <n v="0"/>
    <n v="1500"/>
    <n v="239.10159999999999"/>
    <n v="6"/>
    <n v="233.10159999999999"/>
    <n v="1461.5470319999999"/>
  </r>
  <r>
    <x v="28"/>
    <s v="WANDER A. GARCIA"/>
    <s v="DIESEL V-POWER"/>
    <s v="1001407844485295"/>
    <n v="6.27"/>
    <n v="1500"/>
    <n v="0"/>
    <n v="1500"/>
    <n v="239.10159999999999"/>
    <n v="6"/>
    <n v="233.10159999999999"/>
    <n v="1461.5470319999999"/>
  </r>
  <r>
    <x v="1"/>
    <s v="WANDER A. GARCIA"/>
    <s v="DIESEL REGULAR"/>
    <s v="1001407844485295"/>
    <n v="9.0299999999999994"/>
    <n v="2000"/>
    <n v="0"/>
    <n v="2000"/>
    <n v="221.59520000000001"/>
    <n v="6"/>
    <n v="215.59520000000001"/>
    <n v="1946.824656"/>
  </r>
  <r>
    <x v="13"/>
    <s v="MTDL MULTISERVICIOS SRL"/>
    <s v="DIESEL V-POWER"/>
    <s v="1001411230817101"/>
    <n v="17.91"/>
    <n v="4283"/>
    <n v="0"/>
    <n v="4283"/>
    <n v="239.10159999999999"/>
    <n v="6"/>
    <n v="233.10159999999999"/>
    <n v="4174.8496559999994"/>
  </r>
  <r>
    <x v="6"/>
    <s v="YOENNY PINALES"/>
    <s v="DIESEL REGULAR"/>
    <s v="1001434255260594"/>
    <n v="27"/>
    <n v="5982.6"/>
    <n v="0"/>
    <n v="5982.6"/>
    <n v="221.59520000000001"/>
    <n v="6"/>
    <n v="215.59520000000001"/>
    <n v="5821.0704000000005"/>
  </r>
  <r>
    <x v="4"/>
    <s v="YOENNY PINALES"/>
    <s v="DIESEL V-POWER"/>
    <s v="1001434255260594"/>
    <n v="33.46"/>
    <n v="8000"/>
    <n v="0"/>
    <n v="8000"/>
    <n v="239.10159999999999"/>
    <n v="6"/>
    <n v="233.10159999999999"/>
    <n v="7799.5795360000002"/>
  </r>
  <r>
    <x v="2"/>
    <s v="YOENNY PINALES"/>
    <s v="DIESEL V-POWER"/>
    <s v="1001434255260594"/>
    <n v="27.19"/>
    <n v="6500"/>
    <n v="0"/>
    <n v="6500"/>
    <n v="239.10159999999999"/>
    <n v="6"/>
    <n v="233.10159999999999"/>
    <n v="6338.0325039999998"/>
  </r>
  <r>
    <x v="15"/>
    <s v="YOENNY PINALES"/>
    <s v="DIESEL V-POWER"/>
    <s v="1001434255260594"/>
    <n v="33.47"/>
    <n v="8002"/>
    <n v="0"/>
    <n v="8002"/>
    <n v="239.10159999999999"/>
    <n v="6"/>
    <n v="233.10159999999999"/>
    <n v="7801.9105519999994"/>
  </r>
  <r>
    <x v="16"/>
    <s v="JOSE M. REYNOSO D."/>
    <s v="DIESEL REGULAR"/>
    <s v="1001446626686763"/>
    <n v="8.57"/>
    <n v="1900"/>
    <n v="0"/>
    <n v="1900"/>
    <n v="221.59520000000001"/>
    <n v="6"/>
    <n v="215.59520000000001"/>
    <n v="1847.6508640000002"/>
  </r>
  <r>
    <x v="3"/>
    <s v="JOSE M. REYNOSO D."/>
    <s v="DIESEL REGULAR"/>
    <s v="1001446626686763"/>
    <n v="12.09"/>
    <n v="2680"/>
    <n v="0"/>
    <n v="2680"/>
    <n v="221.59520000000001"/>
    <n v="6"/>
    <n v="215.59520000000001"/>
    <n v="2606.5459679999999"/>
  </r>
  <r>
    <x v="17"/>
    <s v="JOSE M. REYNOSO D."/>
    <s v="DIESEL V-POWER"/>
    <s v="1001446626686763"/>
    <n v="20.49"/>
    <n v="4900"/>
    <n v="0"/>
    <n v="4900"/>
    <n v="239.10159999999999"/>
    <n v="6"/>
    <n v="233.10159999999999"/>
    <n v="4776.2517839999991"/>
  </r>
  <r>
    <x v="18"/>
    <s v="JOSE M. REYNOSO D."/>
    <s v="DIESEL V-POWER"/>
    <s v="1001446626686763"/>
    <n v="9.6999999999999993"/>
    <n v="2320"/>
    <n v="0"/>
    <n v="2320"/>
    <n v="239.10159999999999"/>
    <n v="6"/>
    <n v="233.10159999999999"/>
    <n v="2261.0855199999996"/>
  </r>
  <r>
    <x v="26"/>
    <s v="JOSE M. REYNOSO D."/>
    <s v="DIESEL V-POWER"/>
    <s v="1001446626686763"/>
    <n v="14.64"/>
    <n v="3500"/>
    <n v="0"/>
    <n v="3500"/>
    <n v="239.10159999999999"/>
    <n v="6"/>
    <n v="233.10159999999999"/>
    <n v="3412.6074239999998"/>
  </r>
  <r>
    <x v="3"/>
    <s v="RUBEN D. SANCHEZ O."/>
    <s v="DIESEL REGULAR"/>
    <s v="1001454555771212"/>
    <n v="45.12"/>
    <n v="9999"/>
    <n v="0"/>
    <n v="9999"/>
    <n v="221.59520000000001"/>
    <n v="6"/>
    <n v="215.59520000000001"/>
    <n v="9727.6554240000005"/>
  </r>
  <r>
    <x v="3"/>
    <s v="RUBEN D. SANCHEZ O."/>
    <s v="DIESEL REGULAR"/>
    <s v="1001454555771212"/>
    <n v="45.12"/>
    <n v="9999"/>
    <n v="0"/>
    <n v="9999"/>
    <n v="221.59520000000001"/>
    <n v="6"/>
    <n v="215.59520000000001"/>
    <n v="9727.6554240000005"/>
  </r>
  <r>
    <x v="25"/>
    <s v="RUBEN D. SANCHEZ O."/>
    <s v="DIESEL REGULAR"/>
    <s v="1001454555771212"/>
    <n v="45.12"/>
    <n v="9999"/>
    <n v="0"/>
    <n v="9999"/>
    <n v="221.59520000000001"/>
    <n v="6"/>
    <n v="215.59520000000001"/>
    <n v="9727.6554240000005"/>
  </r>
  <r>
    <x v="4"/>
    <s v="SANCHEZ ANG TRANSPORTACION SRL"/>
    <s v="DIESEL REGULAR"/>
    <s v="1001516111113521"/>
    <n v="22.56"/>
    <n v="5000"/>
    <n v="0"/>
    <n v="5000"/>
    <n v="221.59520000000001"/>
    <n v="6"/>
    <n v="215.59520000000001"/>
    <n v="4863.8277120000002"/>
  </r>
  <r>
    <x v="10"/>
    <s v="SANCHEZ ANG TRANSPORTACION SRL"/>
    <s v="DIESEL REGULAR"/>
    <s v="1001516111113521"/>
    <n v="22.56"/>
    <n v="5000"/>
    <n v="0"/>
    <n v="5000"/>
    <n v="221.59520000000001"/>
    <n v="6"/>
    <n v="215.59520000000001"/>
    <n v="4863.8277120000002"/>
  </r>
  <r>
    <x v="28"/>
    <s v="SANCHEZ ANG TRANSPORTACION SRL"/>
    <s v="DIESEL REGULAR"/>
    <s v="1001516111113521"/>
    <n v="22.56"/>
    <n v="5000"/>
    <n v="0"/>
    <n v="5000"/>
    <n v="221.59520000000001"/>
    <n v="6"/>
    <n v="215.59520000000001"/>
    <n v="4863.8277120000002"/>
  </r>
  <r>
    <x v="23"/>
    <s v="SANCHEZ ANG TRANSPORTACION SRL"/>
    <s v="DIESEL REGULAR"/>
    <s v="1001516111113521"/>
    <n v="22.56"/>
    <n v="5000"/>
    <n v="0"/>
    <n v="5000"/>
    <n v="221.59520000000001"/>
    <n v="6"/>
    <n v="215.59520000000001"/>
    <n v="4863.8277120000002"/>
  </r>
  <r>
    <x v="8"/>
    <s v="SANCHEZ ANG TRANSPORTACION SRL"/>
    <s v="DIESEL REGULAR"/>
    <s v="1001516111113521"/>
    <n v="22.56"/>
    <n v="5000"/>
    <n v="0"/>
    <n v="5000"/>
    <n v="221.59520000000001"/>
    <n v="6"/>
    <n v="215.59520000000001"/>
    <n v="4863.8277120000002"/>
  </r>
  <r>
    <x v="1"/>
    <s v="SANCHEZ ANG TRANSPORTACION SRL"/>
    <s v="DIESEL REGULAR"/>
    <s v="1001516111113521"/>
    <n v="22.56"/>
    <n v="5000"/>
    <n v="0"/>
    <n v="5000"/>
    <n v="221.59520000000001"/>
    <n v="6"/>
    <n v="215.59520000000001"/>
    <n v="4863.8277120000002"/>
  </r>
  <r>
    <x v="21"/>
    <s v="SANCHEZ ANG TRANSPORTACION SRL"/>
    <s v="DIESEL REGULAR"/>
    <s v="1001516111113521"/>
    <n v="36.1"/>
    <n v="8000"/>
    <n v="0"/>
    <n v="8000"/>
    <n v="221.59520000000001"/>
    <n v="6"/>
    <n v="215.59520000000001"/>
    <n v="7782.9867200000008"/>
  </r>
  <r>
    <x v="12"/>
    <s v="SANCHEZ ANG TRANSPORTACION SRL"/>
    <s v="DIESEL REGULAR"/>
    <s v="1001516111113521"/>
    <n v="22.56"/>
    <n v="5000"/>
    <n v="0"/>
    <n v="5000"/>
    <n v="221.59520000000001"/>
    <n v="6"/>
    <n v="215.59520000000001"/>
    <n v="4863.8277120000002"/>
  </r>
  <r>
    <x v="16"/>
    <s v="SANCHEZ ANG TRANSPORTACION SRL"/>
    <s v="DIESEL REGULAR"/>
    <s v="1001516111113521"/>
    <n v="22.56"/>
    <n v="5000"/>
    <n v="0"/>
    <n v="5000"/>
    <n v="221.59520000000001"/>
    <n v="6"/>
    <n v="215.59520000000001"/>
    <n v="4863.8277120000002"/>
  </r>
  <r>
    <x v="13"/>
    <s v="ENYI JIMENEZ C."/>
    <s v="GASOLINA V-POWER"/>
    <s v="1001516992877256"/>
    <n v="6.57"/>
    <n v="1906"/>
    <n v="0"/>
    <n v="1906"/>
    <n v="290.10039999999998"/>
    <n v="6"/>
    <n v="284.10039999999998"/>
    <n v="1866.539628"/>
  </r>
  <r>
    <x v="9"/>
    <s v="ENYI JIMENEZ C."/>
    <s v="GASOLINA V-POWER"/>
    <s v="1001516992877256"/>
    <n v="4.72"/>
    <n v="1369.6"/>
    <n v="0"/>
    <n v="1369.6"/>
    <n v="290.10039999999998"/>
    <n v="6"/>
    <n v="284.10039999999998"/>
    <n v="1340.9538879999998"/>
  </r>
  <r>
    <x v="10"/>
    <s v="ENYI JIMENEZ C."/>
    <s v="GASOLINA V-POWER"/>
    <s v="1001516992877256"/>
    <n v="3.19"/>
    <n v="925.4"/>
    <n v="0"/>
    <n v="925.4"/>
    <n v="290.10039999999998"/>
    <n v="6"/>
    <n v="284.10039999999998"/>
    <n v="906.28027599999996"/>
  </r>
  <r>
    <x v="22"/>
    <s v="ENYI JIMENEZ C."/>
    <s v="GASOLINA V-POWER"/>
    <s v="1001516992877256"/>
    <n v="6.59"/>
    <n v="1911"/>
    <n v="0"/>
    <n v="1911"/>
    <n v="290.10039999999998"/>
    <n v="6"/>
    <n v="284.10039999999998"/>
    <n v="1872.2216359999998"/>
  </r>
  <r>
    <x v="1"/>
    <s v="ENYI JIMENEZ C."/>
    <s v="GASOLINA V-POWER"/>
    <s v="1001516992877256"/>
    <n v="2.76"/>
    <n v="800.7"/>
    <n v="0"/>
    <n v="800.7"/>
    <n v="290.10039999999998"/>
    <n v="6"/>
    <n v="284.10039999999998"/>
    <n v="784.11710399999993"/>
  </r>
  <r>
    <x v="16"/>
    <s v="ENYI JIMENEZ C."/>
    <s v="GASOLINA V-POWER"/>
    <s v="1001516992877256"/>
    <n v="6.18"/>
    <n v="1793"/>
    <n v="0"/>
    <n v="1793"/>
    <n v="290.10039999999998"/>
    <n v="6"/>
    <n v="284.10039999999998"/>
    <n v="1755.7404719999997"/>
  </r>
  <r>
    <x v="13"/>
    <s v="JOSUE A. MAZARA E."/>
    <s v="GASOLINA REGULAR"/>
    <s v="1001518237599321"/>
    <n v="5"/>
    <n v="1362.5"/>
    <n v="0"/>
    <n v="1362.5"/>
    <n v="272.50659999999999"/>
    <n v="6"/>
    <n v="266.50659999999999"/>
    <n v="1332.5329999999999"/>
  </r>
  <r>
    <x v="19"/>
    <s v="JOSUE A. MAZARA E."/>
    <s v="GASOLINA REGULAR"/>
    <s v="1001518237599321"/>
    <n v="3.67"/>
    <n v="1000"/>
    <n v="0"/>
    <n v="1000"/>
    <n v="272.50659999999999"/>
    <n v="6"/>
    <n v="266.50659999999999"/>
    <n v="978.07922199999996"/>
  </r>
  <r>
    <x v="23"/>
    <s v="JOSUE A. MAZARA E."/>
    <s v="GASOLINA REGULAR"/>
    <s v="1001518237599321"/>
    <n v="3.67"/>
    <n v="1000"/>
    <n v="0"/>
    <n v="1000"/>
    <n v="272.50659999999999"/>
    <n v="6"/>
    <n v="266.50659999999999"/>
    <n v="978.07922199999996"/>
  </r>
  <r>
    <x v="21"/>
    <s v="JOSUE A. MAZARA E."/>
    <s v="GASOLINA REGULAR"/>
    <s v="1001518237599321"/>
    <n v="3.67"/>
    <n v="1000"/>
    <n v="0"/>
    <n v="1000"/>
    <n v="272.50659999999999"/>
    <n v="6"/>
    <n v="266.50659999999999"/>
    <n v="978.07922199999996"/>
  </r>
  <r>
    <x v="14"/>
    <s v="JOSUE A. MAZARA E."/>
    <s v="GASOLINA REGULAR"/>
    <s v="1001518237599321"/>
    <n v="4"/>
    <n v="1090"/>
    <n v="0"/>
    <n v="1090"/>
    <n v="272.50659999999999"/>
    <n v="6"/>
    <n v="266.50659999999999"/>
    <n v="1066.0264"/>
  </r>
  <r>
    <x v="3"/>
    <s v="JOSUE A. MAZARA E."/>
    <s v="GASOLINA REGULAR"/>
    <s v="1001518237599321"/>
    <n v="5"/>
    <n v="1363"/>
    <n v="0"/>
    <n v="1363"/>
    <n v="272.50659999999999"/>
    <n v="6"/>
    <n v="266.50659999999999"/>
    <n v="1332.5329999999999"/>
  </r>
  <r>
    <x v="12"/>
    <s v="JOSUE A. MAZARA E."/>
    <s v="GASOLINA REGULAR"/>
    <s v="1001518237599321"/>
    <n v="7"/>
    <n v="1908"/>
    <n v="0"/>
    <n v="1908"/>
    <n v="272.50659999999999"/>
    <n v="6"/>
    <n v="266.50659999999999"/>
    <n v="1865.5462"/>
  </r>
  <r>
    <x v="14"/>
    <s v="JOAN L. ALMONTE T."/>
    <s v="GASOLINA REGULAR"/>
    <s v="1001596866031163"/>
    <n v="18.350000000000001"/>
    <n v="5000"/>
    <n v="0"/>
    <n v="5000"/>
    <n v="272.50659999999999"/>
    <n v="6"/>
    <n v="266.50659999999999"/>
    <n v="4890.3961100000006"/>
  </r>
  <r>
    <x v="5"/>
    <s v="JOAN L. ALMONTE T."/>
    <s v="GASOLINA V-POWER"/>
    <s v="1001596866031163"/>
    <n v="17.239999999999998"/>
    <n v="5000"/>
    <n v="0"/>
    <n v="5000"/>
    <n v="290.10039999999998"/>
    <n v="6"/>
    <n v="284.10039999999998"/>
    <n v="4897.890895999999"/>
  </r>
  <r>
    <x v="24"/>
    <s v="JOAN L. ALMONTE T."/>
    <s v="GASOLINA V-POWER"/>
    <s v="1001596866031163"/>
    <n v="3.45"/>
    <n v="1000"/>
    <n v="0"/>
    <n v="1000"/>
    <n v="290.10039999999998"/>
    <n v="6"/>
    <n v="284.10039999999998"/>
    <n v="980.14638000000002"/>
  </r>
  <r>
    <x v="17"/>
    <s v="JOAN L. ALMONTE T."/>
    <s v="GASOLINA V-POWER"/>
    <s v="1001596866031163"/>
    <n v="12.06"/>
    <n v="3500"/>
    <n v="0"/>
    <n v="3500"/>
    <n v="290.10039999999998"/>
    <n v="6"/>
    <n v="284.10039999999998"/>
    <n v="3426.2508239999997"/>
  </r>
  <r>
    <x v="3"/>
    <s v="JOAN L. ALMONTE T."/>
    <s v="GASOLINA V-POWER"/>
    <s v="1001596866031163"/>
    <n v="6.89"/>
    <n v="2000"/>
    <n v="0"/>
    <n v="2000"/>
    <n v="290.10039999999998"/>
    <n v="6"/>
    <n v="284.10039999999998"/>
    <n v="1957.4517559999997"/>
  </r>
  <r>
    <x v="7"/>
    <s v="JOAN L. ALMONTE T."/>
    <s v="GASOLINA REGULAR"/>
    <s v="1001596866031163"/>
    <n v="3.67"/>
    <n v="1000"/>
    <n v="0"/>
    <n v="1000"/>
    <n v="272.50659999999999"/>
    <n v="6"/>
    <n v="266.50659999999999"/>
    <n v="978.07922199999996"/>
  </r>
  <r>
    <x v="7"/>
    <s v="JOAN L. ALMONTE T."/>
    <s v="GASOLINA V-POWER"/>
    <s v="1001596866031163"/>
    <n v="10.34"/>
    <n v="3000"/>
    <n v="0"/>
    <n v="3000"/>
    <n v="290.10039999999998"/>
    <n v="6"/>
    <n v="284.10039999999998"/>
    <n v="2937.5981359999996"/>
  </r>
  <r>
    <x v="23"/>
    <s v="JOAN L. ALMONTE T."/>
    <s v="GASOLINA V-POWER"/>
    <s v="1001596866031163"/>
    <n v="8.6199999999999992"/>
    <n v="2500"/>
    <n v="0"/>
    <n v="2500"/>
    <n v="290.10039999999998"/>
    <n v="6"/>
    <n v="284.10039999999998"/>
    <n v="2448.9454479999995"/>
  </r>
  <r>
    <x v="2"/>
    <s v="JOAN L. ALMONTE T."/>
    <s v="GASOLINA V-POWER"/>
    <s v="1001596866031163"/>
    <n v="15.51"/>
    <n v="4500"/>
    <n v="0"/>
    <n v="4500"/>
    <n v="290.10039999999998"/>
    <n v="6"/>
    <n v="284.10039999999998"/>
    <n v="4406.3972039999999"/>
  </r>
  <r>
    <x v="12"/>
    <s v="JOAN L. ALMONTE T."/>
    <s v="GASOLINA REGULAR"/>
    <s v="1001596866031163"/>
    <n v="5.5"/>
    <n v="1500"/>
    <n v="0"/>
    <n v="1500"/>
    <n v="272.50659999999999"/>
    <n v="6"/>
    <n v="266.50659999999999"/>
    <n v="1465.7863"/>
  </r>
  <r>
    <x v="8"/>
    <s v="JOAN L. ALMONTE T."/>
    <s v="GASOLINA REGULAR"/>
    <s v="1001596866031163"/>
    <n v="7.34"/>
    <n v="2000"/>
    <n v="0"/>
    <n v="2000"/>
    <n v="272.50659999999999"/>
    <n v="6"/>
    <n v="266.50659999999999"/>
    <n v="1956.1584439999999"/>
  </r>
  <r>
    <x v="10"/>
    <s v="JOAN L. ALMONTE T."/>
    <s v="GASOLINA V-POWER"/>
    <s v="1001596866031163"/>
    <n v="8.6199999999999992"/>
    <n v="2500"/>
    <n v="0"/>
    <n v="2500"/>
    <n v="290.10039999999998"/>
    <n v="6"/>
    <n v="284.10039999999998"/>
    <n v="2448.9454479999995"/>
  </r>
  <r>
    <x v="22"/>
    <s v="JOAN L. ALMONTE T."/>
    <s v="GASOLINA REGULAR"/>
    <s v="1001596866031163"/>
    <n v="20.18"/>
    <n v="5500"/>
    <n v="0"/>
    <n v="5500"/>
    <n v="272.50659999999999"/>
    <n v="6"/>
    <n v="266.50659999999999"/>
    <n v="5378.103188"/>
  </r>
  <r>
    <x v="1"/>
    <s v="JOAN L. ALMONTE T."/>
    <s v="GASOLINA V-POWER"/>
    <s v="1001596866031163"/>
    <n v="3.45"/>
    <n v="1000"/>
    <n v="0"/>
    <n v="1000"/>
    <n v="290.10039999999998"/>
    <n v="6"/>
    <n v="284.10039999999998"/>
    <n v="980.14638000000002"/>
  </r>
  <r>
    <x v="17"/>
    <s v="JOAN L. ALMONTE T."/>
    <s v="GASOLINA REGULAR"/>
    <s v="1001596866031163"/>
    <n v="3.67"/>
    <n v="1000"/>
    <n v="0"/>
    <n v="1000"/>
    <n v="272.50659999999999"/>
    <n v="6"/>
    <n v="266.50659999999999"/>
    <n v="978.07922199999996"/>
  </r>
  <r>
    <x v="10"/>
    <s v="NOKE HENRIQUEZ S."/>
    <s v="GASOLINA V-POWER"/>
    <s v="1001635955908637"/>
    <n v="20.68"/>
    <n v="6000"/>
    <n v="0"/>
    <n v="6000"/>
    <n v="290.10039999999998"/>
    <n v="6"/>
    <n v="284.10039999999998"/>
    <n v="5875.1962719999992"/>
  </r>
  <r>
    <x v="3"/>
    <s v="TRANSPORTE A R W SRL"/>
    <s v="DIESEL V-POWER"/>
    <s v="1001670014520862"/>
    <n v="13.38"/>
    <n v="3200"/>
    <n v="0"/>
    <n v="3200"/>
    <n v="239.10159999999999"/>
    <n v="6"/>
    <n v="233.10159999999999"/>
    <n v="3118.8994080000002"/>
  </r>
  <r>
    <x v="23"/>
    <s v="TRANSPORTE A R W SRL"/>
    <s v="DIESEL V-POWER"/>
    <s v="1001670014520862"/>
    <n v="9.39"/>
    <n v="2246"/>
    <n v="0"/>
    <n v="2246"/>
    <n v="239.10159999999999"/>
    <n v="6"/>
    <n v="233.10159999999999"/>
    <n v="2188.824024"/>
  </r>
  <r>
    <x v="25"/>
    <s v="TRANSPORTE A R W SRL"/>
    <s v="DIESEL REGULAR"/>
    <s v="1001670014520862"/>
    <n v="1.88"/>
    <n v="416"/>
    <n v="0"/>
    <n v="416"/>
    <n v="221.59520000000001"/>
    <n v="6"/>
    <n v="215.59520000000001"/>
    <n v="405.31897599999996"/>
  </r>
  <r>
    <x v="14"/>
    <s v="TRANSPORTE A R W SRL"/>
    <s v="GASOLINA V-POWER"/>
    <s v="1001670014520862"/>
    <n v="3.45"/>
    <n v="1000"/>
    <n v="0"/>
    <n v="1000"/>
    <n v="290.10039999999998"/>
    <n v="6"/>
    <n v="284.10039999999998"/>
    <n v="980.14638000000002"/>
  </r>
  <r>
    <x v="9"/>
    <s v="TRANSPORTE A R W SRL"/>
    <s v="DIESEL V-POWER"/>
    <s v="1001670014520862"/>
    <n v="5.71"/>
    <n v="1366"/>
    <n v="0"/>
    <n v="1366"/>
    <n v="239.10159999999999"/>
    <n v="6"/>
    <n v="233.10159999999999"/>
    <n v="1331.0101359999999"/>
  </r>
  <r>
    <x v="0"/>
    <s v="RAMON L. VERAS M."/>
    <s v="GASOLINA REGULAR"/>
    <s v="1001704632012901"/>
    <n v="20.18"/>
    <n v="5500"/>
    <n v="0"/>
    <n v="5500"/>
    <n v="272.50659999999999"/>
    <n v="6"/>
    <n v="266.50659999999999"/>
    <n v="5378.103188"/>
  </r>
  <r>
    <x v="0"/>
    <s v="RAMON L. VERAS M."/>
    <s v="GASOLINA V-POWER"/>
    <s v="1001704632012901"/>
    <n v="15.51"/>
    <n v="4500"/>
    <n v="0"/>
    <n v="4500"/>
    <n v="290.10039999999998"/>
    <n v="6"/>
    <n v="284.10039999999998"/>
    <n v="4406.3972039999999"/>
  </r>
  <r>
    <x v="0"/>
    <s v="RAMON L. VERAS M."/>
    <s v="GASOLINA V-POWER"/>
    <s v="1001704632012901"/>
    <n v="18.899999999999999"/>
    <n v="5482"/>
    <n v="0"/>
    <n v="5482"/>
    <n v="290.10039999999998"/>
    <n v="6"/>
    <n v="284.10039999999998"/>
    <n v="5369.4975599999989"/>
  </r>
  <r>
    <x v="0"/>
    <s v="RAMON L. VERAS M."/>
    <s v="GASOLINA REGULAR"/>
    <s v="1001704632012901"/>
    <n v="16.579999999999998"/>
    <n v="4518"/>
    <n v="0"/>
    <n v="4518"/>
    <n v="272.50659999999999"/>
    <n v="6"/>
    <n v="266.50659999999999"/>
    <n v="4418.6794279999995"/>
  </r>
  <r>
    <x v="9"/>
    <s v="RAMON L. VERAS M."/>
    <s v="GASOLINA V-POWER"/>
    <s v="1001704632012901"/>
    <n v="15.02"/>
    <n v="4356"/>
    <n v="0"/>
    <n v="4356"/>
    <n v="290.10039999999998"/>
    <n v="6"/>
    <n v="284.10039999999998"/>
    <n v="4267.1880079999992"/>
  </r>
  <r>
    <x v="9"/>
    <s v="RAMON L. VERAS M."/>
    <s v="GASOLINA V-POWER"/>
    <s v="1001704632012901"/>
    <n v="19.46"/>
    <n v="5644"/>
    <n v="0"/>
    <n v="5644"/>
    <n v="290.10039999999998"/>
    <n v="6"/>
    <n v="284.10039999999998"/>
    <n v="5528.5937839999997"/>
  </r>
  <r>
    <x v="1"/>
    <s v="LEANDRO ALMONTE"/>
    <s v="DIESEL REGULAR"/>
    <s v="1001887180359158"/>
    <n v="14.57"/>
    <n v="3228"/>
    <n v="0"/>
    <n v="3228"/>
    <n v="221.59520000000001"/>
    <n v="6"/>
    <n v="215.59520000000001"/>
    <n v="3141.222064"/>
  </r>
  <r>
    <x v="0"/>
    <s v="ERNESTO J. MEDRANO P."/>
    <s v="DIESEL REGULAR"/>
    <s v="1001100413367911"/>
    <n v="90.25"/>
    <n v="20000"/>
    <n v="0"/>
    <n v="20000"/>
    <n v="221.59520000000001"/>
    <n v="6"/>
    <n v="215.59520000000001"/>
    <n v="19457.466800000002"/>
  </r>
  <r>
    <x v="25"/>
    <s v="ERNESTO J. MEDRANO P."/>
    <s v="DIESEL REGULAR"/>
    <s v="1001100413367911"/>
    <n v="90.25"/>
    <n v="20000"/>
    <n v="0"/>
    <n v="20000"/>
    <n v="221.59520000000001"/>
    <n v="6"/>
    <n v="215.59520000000001"/>
    <n v="19457.466800000002"/>
  </r>
  <r>
    <x v="14"/>
    <s v="JUAN A. ALBERTO P."/>
    <s v="GASOLINA REGULAR"/>
    <s v="1001112694930630"/>
    <n v="11.01"/>
    <n v="3000"/>
    <n v="0"/>
    <n v="3000"/>
    <n v="272.50659999999999"/>
    <n v="6"/>
    <n v="266.50659999999999"/>
    <n v="2934.237666"/>
  </r>
  <r>
    <x v="14"/>
    <s v="JUAN A. ALBERTO P."/>
    <s v="DIESEL REGULAR"/>
    <s v="1001112694930630"/>
    <n v="45.13"/>
    <n v="10000"/>
    <n v="0"/>
    <n v="10000"/>
    <n v="221.59520000000001"/>
    <n v="6"/>
    <n v="215.59520000000001"/>
    <n v="9729.8113760000015"/>
  </r>
  <r>
    <x v="14"/>
    <s v="JUAN A. ALBERTO P."/>
    <s v="DIESEL REGULAR"/>
    <s v="1001112694930630"/>
    <n v="44.87"/>
    <n v="9944"/>
    <n v="0"/>
    <n v="9944"/>
    <n v="221.59520000000001"/>
    <n v="6"/>
    <n v="215.59520000000001"/>
    <n v="9673.7566239999996"/>
  </r>
  <r>
    <x v="7"/>
    <s v="JUAN A. ALBERTO P."/>
    <s v="DIESEL REGULAR"/>
    <s v="1001112694930630"/>
    <n v="29.78"/>
    <n v="6600"/>
    <n v="0"/>
    <n v="6600"/>
    <n v="221.59520000000001"/>
    <n v="6"/>
    <n v="215.59520000000001"/>
    <n v="6420.425056"/>
  </r>
  <r>
    <x v="7"/>
    <s v="JUAN A. ALBERTO P."/>
    <s v="DIESEL REGULAR"/>
    <s v="1001112694930630"/>
    <n v="45.13"/>
    <n v="10000"/>
    <n v="0"/>
    <n v="10000"/>
    <n v="221.59520000000001"/>
    <n v="6"/>
    <n v="215.59520000000001"/>
    <n v="9729.8113760000015"/>
  </r>
  <r>
    <x v="7"/>
    <s v="JUAN A. ALBERTO P."/>
    <s v="DIESEL REGULAR"/>
    <s v="1001112694930630"/>
    <n v="15.34"/>
    <n v="3400"/>
    <n v="0"/>
    <n v="3400"/>
    <n v="221.59520000000001"/>
    <n v="6"/>
    <n v="215.59520000000001"/>
    <n v="3307.230368"/>
  </r>
  <r>
    <x v="17"/>
    <s v="SANDY A. FERRERAS F."/>
    <s v="GASOLINA V-POWER"/>
    <s v="1001158242073113"/>
    <n v="8.6199999999999992"/>
    <n v="2500"/>
    <n v="0"/>
    <n v="2500"/>
    <n v="290.10039999999998"/>
    <n v="6"/>
    <n v="284.10039999999998"/>
    <n v="2448.9454479999995"/>
  </r>
  <r>
    <x v="9"/>
    <s v="BRAYAN J. FRANCISCO"/>
    <s v="DIESEL REGULAR"/>
    <s v="1001193389712803"/>
    <n v="45.12"/>
    <n v="9999"/>
    <n v="0"/>
    <n v="9999"/>
    <n v="221.59520000000001"/>
    <n v="6"/>
    <n v="215.59520000000001"/>
    <n v="9727.6554240000005"/>
  </r>
  <r>
    <x v="1"/>
    <s v="DANIEL I. LLANO M."/>
    <s v="GASOLINA V-POWER"/>
    <s v="1001259324040179"/>
    <n v="10.34"/>
    <n v="3000"/>
    <n v="0"/>
    <n v="3000"/>
    <n v="290.10039999999998"/>
    <n v="6"/>
    <n v="284.10039999999998"/>
    <n v="2937.5981359999996"/>
  </r>
  <r>
    <x v="8"/>
    <s v="PEDRO BRITO B."/>
    <s v="DIESEL REGULAR"/>
    <s v="1001286375381068"/>
    <n v="4.51"/>
    <n v="1000"/>
    <n v="0"/>
    <n v="1000"/>
    <n v="221.59520000000001"/>
    <n v="6"/>
    <n v="215.59520000000001"/>
    <n v="972.33435199999997"/>
  </r>
  <r>
    <x v="22"/>
    <s v="PEDRO BRITO B."/>
    <s v="DIESEL REGULAR"/>
    <s v="1001286375381068"/>
    <n v="10.74"/>
    <n v="2380"/>
    <n v="0"/>
    <n v="2380"/>
    <n v="221.59520000000001"/>
    <n v="6"/>
    <n v="215.59520000000001"/>
    <n v="2315.492448"/>
  </r>
  <r>
    <x v="16"/>
    <s v="PEDRO BRITO B."/>
    <s v="DIESEL REGULAR"/>
    <s v="1001286375381068"/>
    <n v="4.51"/>
    <n v="1000"/>
    <n v="0"/>
    <n v="1000"/>
    <n v="221.59520000000001"/>
    <n v="6"/>
    <n v="215.59520000000001"/>
    <n v="972.33435199999997"/>
  </r>
  <r>
    <x v="2"/>
    <s v="PEDRO BRITO B."/>
    <s v="DIESEL REGULAR"/>
    <s v="1001286375381068"/>
    <n v="9.0299999999999994"/>
    <n v="2000"/>
    <n v="0"/>
    <n v="2000"/>
    <n v="221.59520000000001"/>
    <n v="6"/>
    <n v="215.59520000000001"/>
    <n v="1946.824656"/>
  </r>
  <r>
    <x v="2"/>
    <s v="PEDRO BRITO B."/>
    <s v="DIESEL REGULAR"/>
    <s v="1001286375381068"/>
    <n v="9.0299999999999994"/>
    <n v="2000"/>
    <n v="0"/>
    <n v="2000"/>
    <n v="221.59520000000001"/>
    <n v="6"/>
    <n v="215.59520000000001"/>
    <n v="1946.824656"/>
  </r>
  <r>
    <x v="12"/>
    <s v="PEDRO BRITO B."/>
    <s v="DIESEL REGULAR"/>
    <s v="1001286375381068"/>
    <n v="4.51"/>
    <n v="1000"/>
    <n v="0"/>
    <n v="1000"/>
    <n v="221.59520000000001"/>
    <n v="6"/>
    <n v="215.59520000000001"/>
    <n v="972.33435199999997"/>
  </r>
  <r>
    <x v="12"/>
    <s v="PEDRO BRITO B."/>
    <s v="DIESEL REGULAR"/>
    <s v="1001286375381068"/>
    <n v="6.77"/>
    <n v="1500"/>
    <n v="0"/>
    <n v="1500"/>
    <n v="221.59520000000001"/>
    <n v="6"/>
    <n v="215.59520000000001"/>
    <n v="1459.579504"/>
  </r>
  <r>
    <x v="8"/>
    <s v="PEDRO BRITO B."/>
    <s v="DIESEL REGULAR"/>
    <s v="1001286375381068"/>
    <n v="13.54"/>
    <n v="3000"/>
    <n v="0"/>
    <n v="3000"/>
    <n v="221.59520000000001"/>
    <n v="6"/>
    <n v="215.59520000000001"/>
    <n v="2919.1590080000001"/>
  </r>
  <r>
    <x v="18"/>
    <s v="PEDRO BRITO B."/>
    <s v="DIESEL REGULAR"/>
    <s v="1001286375381068"/>
    <n v="5.42"/>
    <n v="1200"/>
    <n v="0"/>
    <n v="1200"/>
    <n v="221.59520000000001"/>
    <n v="6"/>
    <n v="215.59520000000001"/>
    <n v="1168.5259840000001"/>
  </r>
  <r>
    <x v="25"/>
    <s v="PEDRO BRITO B."/>
    <s v="DIESEL REGULAR"/>
    <s v="1001286375381068"/>
    <n v="2.71"/>
    <n v="600"/>
    <n v="0"/>
    <n v="600"/>
    <n v="221.59520000000001"/>
    <n v="6"/>
    <n v="215.59520000000001"/>
    <n v="584.26299200000005"/>
  </r>
  <r>
    <x v="25"/>
    <s v="PEDRO BRITO B."/>
    <s v="DIESEL REGULAR"/>
    <s v="1001286375381068"/>
    <n v="1.81"/>
    <n v="400"/>
    <n v="0"/>
    <n v="400"/>
    <n v="221.59520000000001"/>
    <n v="6"/>
    <n v="215.59520000000001"/>
    <n v="390.22731200000004"/>
  </r>
  <r>
    <x v="19"/>
    <s v="PEDRO BRITO B."/>
    <s v="DIESEL REGULAR"/>
    <s v="1001286375381068"/>
    <n v="13.54"/>
    <n v="3000"/>
    <n v="0"/>
    <n v="3000"/>
    <n v="221.59520000000001"/>
    <n v="6"/>
    <n v="215.59520000000001"/>
    <n v="2919.1590080000001"/>
  </r>
  <r>
    <x v="20"/>
    <s v="PEDRO BRITO B."/>
    <s v="DIESEL REGULAR"/>
    <s v="1001286375381068"/>
    <n v="3.61"/>
    <n v="800"/>
    <n v="0"/>
    <n v="800"/>
    <n v="221.59520000000001"/>
    <n v="6"/>
    <n v="215.59520000000001"/>
    <n v="778.29867200000001"/>
  </r>
  <r>
    <x v="6"/>
    <s v="PEDRO BRITO B."/>
    <s v="DIESEL REGULAR"/>
    <s v="1001286375381068"/>
    <n v="4.51"/>
    <n v="1000"/>
    <n v="0"/>
    <n v="1000"/>
    <n v="221.59520000000001"/>
    <n v="6"/>
    <n v="215.59520000000001"/>
    <n v="972.33435199999997"/>
  </r>
  <r>
    <x v="22"/>
    <s v="PEDRO BRITO B."/>
    <s v="DIESEL REGULAR"/>
    <s v="1001286375381068"/>
    <n v="6.77"/>
    <n v="1500"/>
    <n v="0"/>
    <n v="1500"/>
    <n v="221.59520000000001"/>
    <n v="6"/>
    <n v="215.59520000000001"/>
    <n v="1459.579504"/>
  </r>
  <r>
    <x v="6"/>
    <s v="MANUEL A. MALDONADO N."/>
    <s v="DIESEL V-POWER"/>
    <s v="1001288367533385"/>
    <n v="11.91"/>
    <n v="2847"/>
    <n v="0"/>
    <n v="2847"/>
    <n v="239.10159999999999"/>
    <n v="6"/>
    <n v="233.10159999999999"/>
    <n v="2776.2400560000001"/>
  </r>
  <r>
    <x v="21"/>
    <s v="ELUPINA M. HERNANDEZ M."/>
    <s v="GASOLINA V-POWER"/>
    <s v="1001320311193243"/>
    <n v="9.69"/>
    <n v="2811"/>
    <n v="0"/>
    <n v="2811"/>
    <n v="290.10039999999998"/>
    <n v="6"/>
    <n v="284.10039999999998"/>
    <n v="2752.9328759999999"/>
  </r>
  <r>
    <x v="14"/>
    <s v="JHONNY JIMENEZ"/>
    <s v="DIESEL REGULAR"/>
    <s v="1001331154220017"/>
    <n v="44.68"/>
    <n v="9900"/>
    <n v="0"/>
    <n v="9900"/>
    <n v="221.59520000000001"/>
    <n v="6"/>
    <n v="215.59520000000001"/>
    <n v="9632.793536000001"/>
  </r>
  <r>
    <x v="14"/>
    <s v="JHONNY JIMENEZ"/>
    <s v="DIESEL REGULAR"/>
    <s v="1001331154220017"/>
    <n v="41.93"/>
    <n v="9292"/>
    <n v="0"/>
    <n v="9292"/>
    <n v="221.59520000000001"/>
    <n v="6"/>
    <n v="215.59520000000001"/>
    <n v="9039.9067360000008"/>
  </r>
  <r>
    <x v="1"/>
    <s v="ALEX R. ESTRADA T."/>
    <s v="GASOLINA V-POWER"/>
    <s v="1001355962899410"/>
    <n v="25.85"/>
    <n v="7500"/>
    <n v="0"/>
    <n v="7500"/>
    <n v="290.10039999999998"/>
    <n v="6"/>
    <n v="284.10039999999998"/>
    <n v="7343.9953399999995"/>
  </r>
  <r>
    <x v="12"/>
    <s v="ALEX R. ESTRADA T."/>
    <s v="GASOLINA V-POWER"/>
    <s v="1001355962899410"/>
    <n v="6.2"/>
    <n v="1800"/>
    <n v="0"/>
    <n v="1800"/>
    <n v="290.10039999999998"/>
    <n v="6"/>
    <n v="284.10039999999998"/>
    <n v="1761.42248"/>
  </r>
  <r>
    <x v="22"/>
    <s v="ALEX R. ESTRADA T."/>
    <s v="GASOLINA V-POWER"/>
    <s v="1001355962899410"/>
    <n v="19.649999999999999"/>
    <n v="5700"/>
    <n v="0"/>
    <n v="5700"/>
    <n v="290.10039999999998"/>
    <n v="6"/>
    <n v="284.10039999999998"/>
    <n v="5582.5728599999993"/>
  </r>
  <r>
    <x v="11"/>
    <s v="MTDL MULTISERVICIOS SRL"/>
    <s v="DIESEL OPTIMO"/>
    <s v="1001411230817101"/>
    <n v="23.91"/>
    <n v="5717"/>
    <n v="0"/>
    <n v="5717"/>
    <n v="0"/>
    <n v="6"/>
    <n v="-6"/>
    <n v="-143.46"/>
  </r>
  <r>
    <x v="27"/>
    <s v="YOENNY PINALES"/>
    <s v="DIESEL REGULAR"/>
    <s v="1001434255260594"/>
    <n v="18.95"/>
    <n v="4200"/>
    <n v="0"/>
    <n v="4200"/>
    <n v="221.59520000000001"/>
    <n v="6"/>
    <n v="215.59520000000001"/>
    <n v="4085.5290399999999"/>
  </r>
  <r>
    <x v="19"/>
    <s v="JOSE M. REYNOSO D."/>
    <s v="DIESEL REGULAR"/>
    <s v="1001446626686763"/>
    <n v="18.05"/>
    <n v="4000"/>
    <n v="0"/>
    <n v="4000"/>
    <n v="221.59520000000001"/>
    <n v="6"/>
    <n v="215.59520000000001"/>
    <n v="3891.4933600000004"/>
  </r>
  <r>
    <x v="5"/>
    <s v="JOSE M. REYNOSO D."/>
    <s v="DIESEL REGULAR"/>
    <s v="1001446626686763"/>
    <n v="18.05"/>
    <n v="4000"/>
    <n v="0"/>
    <n v="4000"/>
    <n v="221.59520000000001"/>
    <n v="6"/>
    <n v="215.59520000000001"/>
    <n v="3891.4933600000004"/>
  </r>
  <r>
    <x v="23"/>
    <s v="JOSE M. REYNOSO D."/>
    <s v="DIESEL REGULAR"/>
    <s v="1001446626686763"/>
    <n v="9.0299999999999994"/>
    <n v="2000"/>
    <n v="0"/>
    <n v="2000"/>
    <n v="221.59520000000001"/>
    <n v="6"/>
    <n v="215.59520000000001"/>
    <n v="1946.824656"/>
  </r>
  <r>
    <x v="3"/>
    <s v="TRANSP. Y GRUA TRANPSELITE"/>
    <s v="DIESEL REGULAR"/>
    <s v="1001459885029625"/>
    <n v="30"/>
    <n v="6648"/>
    <n v="0"/>
    <n v="6648"/>
    <n v="221.59520000000001"/>
    <n v="6"/>
    <n v="215.59520000000001"/>
    <n v="6467.8559999999998"/>
  </r>
  <r>
    <x v="22"/>
    <s v="TRANSP. Y GRUA TRANPSELITE"/>
    <s v="GASOLINA V-POWER"/>
    <s v="1001459885029625"/>
    <n v="12.93"/>
    <n v="3750"/>
    <n v="0"/>
    <n v="3750"/>
    <n v="290.10039999999998"/>
    <n v="6"/>
    <n v="284.10039999999998"/>
    <n v="3673.4181719999997"/>
  </r>
  <r>
    <x v="12"/>
    <s v="TRANSP. Y GRUA TRANPSELITE"/>
    <s v="GASOLINA REGULAR"/>
    <s v="1001459885029625"/>
    <n v="3.67"/>
    <n v="1000"/>
    <n v="0"/>
    <n v="1000"/>
    <n v="272.50659999999999"/>
    <n v="6"/>
    <n v="266.50659999999999"/>
    <n v="978.07922199999996"/>
  </r>
  <r>
    <x v="16"/>
    <s v="TRANSP. Y GRUA TRANPSELITE"/>
    <s v="DIESEL REGULAR"/>
    <s v="1001459885029625"/>
    <n v="32.64"/>
    <n v="7232"/>
    <n v="0"/>
    <n v="7232"/>
    <n v="221.59520000000001"/>
    <n v="6"/>
    <n v="215.59520000000001"/>
    <n v="7037.0273280000001"/>
  </r>
  <r>
    <x v="23"/>
    <s v="TRANSP. Y GRUA TRANPSELITE"/>
    <s v="DIESEL REGULAR"/>
    <s v="1001459885029625"/>
    <n v="5.42"/>
    <n v="1200"/>
    <n v="0"/>
    <n v="1200"/>
    <n v="221.59520000000001"/>
    <n v="6"/>
    <n v="215.59520000000001"/>
    <n v="1168.5259840000001"/>
  </r>
  <r>
    <x v="1"/>
    <s v="TRANSP. Y GRUA TRANPSELITE"/>
    <s v="DIESEL V-POWER"/>
    <s v="1001459885029625"/>
    <n v="20.91"/>
    <n v="5000"/>
    <n v="0"/>
    <n v="5000"/>
    <n v="239.10159999999999"/>
    <n v="6"/>
    <n v="233.10159999999999"/>
    <n v="4874.1544560000002"/>
  </r>
  <r>
    <x v="8"/>
    <s v="TRANSP. Y GRUA TRANPSELITE"/>
    <s v="GASOLINA V-POWER"/>
    <s v="1001459885029625"/>
    <n v="6.89"/>
    <n v="2000"/>
    <n v="0"/>
    <n v="2000"/>
    <n v="290.10039999999998"/>
    <n v="6"/>
    <n v="284.10039999999998"/>
    <n v="1957.4517559999997"/>
  </r>
  <r>
    <x v="0"/>
    <s v="TRANSP. Y GRUA TRANPSELITE"/>
    <s v="DIESEL REGULAR"/>
    <s v="1001459885029625"/>
    <n v="30"/>
    <n v="6648"/>
    <n v="0"/>
    <n v="6648"/>
    <n v="221.59520000000001"/>
    <n v="6"/>
    <n v="215.59520000000001"/>
    <n v="6467.8559999999998"/>
  </r>
  <r>
    <x v="9"/>
    <s v="TRANSP. Y GRUA TRANPSELITE"/>
    <s v="DIESEL REGULAR"/>
    <s v="1001459885029625"/>
    <n v="30"/>
    <n v="6648"/>
    <n v="0"/>
    <n v="6648"/>
    <n v="221.59520000000001"/>
    <n v="6"/>
    <n v="215.59520000000001"/>
    <n v="6467.8559999999998"/>
  </r>
  <r>
    <x v="16"/>
    <s v="TRANSP. Y GRUA TRANPSELITE"/>
    <s v="DIESEL V-POWER"/>
    <s v="1001459885029625"/>
    <n v="37.07"/>
    <n v="8864"/>
    <n v="0"/>
    <n v="8864"/>
    <n v="239.10159999999999"/>
    <n v="6"/>
    <n v="233.10159999999999"/>
    <n v="8641.0763119999992"/>
  </r>
  <r>
    <x v="16"/>
    <s v="TRANSP. Y GRUA TRANPSELITE"/>
    <s v="DIESEL V-POWER"/>
    <s v="1001459885029625"/>
    <n v="10.46"/>
    <n v="2500"/>
    <n v="0"/>
    <n v="2500"/>
    <n v="239.10159999999999"/>
    <n v="6"/>
    <n v="233.10159999999999"/>
    <n v="2438.2427360000001"/>
  </r>
  <r>
    <x v="28"/>
    <s v="TRANSP. Y GRUA TRANPSELITE"/>
    <s v="DIESEL REGULAR"/>
    <s v="1001459885029625"/>
    <n v="12.64"/>
    <n v="2800"/>
    <n v="0"/>
    <n v="2800"/>
    <n v="221.59520000000001"/>
    <n v="6"/>
    <n v="215.59520000000001"/>
    <n v="2725.1233280000001"/>
  </r>
  <r>
    <x v="1"/>
    <s v="YEISON A. ALMANZAR R."/>
    <s v="DIESEL REGULAR"/>
    <s v="1001501562211180"/>
    <n v="6.32"/>
    <n v="1400"/>
    <n v="0"/>
    <n v="1400"/>
    <n v="221.59520000000001"/>
    <n v="6"/>
    <n v="215.59520000000001"/>
    <n v="1362.5616640000001"/>
  </r>
  <r>
    <x v="18"/>
    <s v="YEISON A. ALMANZAR R."/>
    <s v="DIESEL REGULAR"/>
    <s v="1001501562211180"/>
    <n v="6.32"/>
    <n v="1400"/>
    <n v="0"/>
    <n v="1400"/>
    <n v="221.59520000000001"/>
    <n v="6"/>
    <n v="215.59520000000001"/>
    <n v="1362.5616640000001"/>
  </r>
  <r>
    <x v="18"/>
    <s v="YEISON A. ALMANZAR R."/>
    <s v="DIESEL REGULAR"/>
    <s v="1001501562211180"/>
    <n v="104.59"/>
    <n v="23178"/>
    <n v="0"/>
    <n v="23178"/>
    <n v="221.59520000000001"/>
    <n v="6"/>
    <n v="215.59520000000001"/>
    <n v="22549.101968000003"/>
  </r>
  <r>
    <x v="0"/>
    <s v="YEISON A. ALMANZAR R."/>
    <s v="DIESEL REGULAR"/>
    <s v="1001501562211180"/>
    <n v="90.25"/>
    <n v="20000"/>
    <n v="0"/>
    <n v="20000"/>
    <n v="221.59520000000001"/>
    <n v="6"/>
    <n v="215.59520000000001"/>
    <n v="19457.466800000002"/>
  </r>
  <r>
    <x v="17"/>
    <s v="YEISON A. ALMANZAR R."/>
    <s v="DIESEL REGULAR"/>
    <s v="1001501562211180"/>
    <n v="6.32"/>
    <n v="1400"/>
    <n v="0"/>
    <n v="1400"/>
    <n v="221.59520000000001"/>
    <n v="6"/>
    <n v="215.59520000000001"/>
    <n v="1362.5616640000001"/>
  </r>
  <r>
    <x v="17"/>
    <s v="YEISON A. ALMANZAR R."/>
    <s v="DIESEL REGULAR"/>
    <s v="1001501562211180"/>
    <n v="16.25"/>
    <n v="3600"/>
    <n v="0"/>
    <n v="3600"/>
    <n v="221.59520000000001"/>
    <n v="6"/>
    <n v="215.59520000000001"/>
    <n v="3503.422"/>
  </r>
  <r>
    <x v="22"/>
    <s v="YEISON A. ALMANZAR R."/>
    <s v="DIESEL REGULAR"/>
    <s v="1001501562211180"/>
    <n v="61.37"/>
    <n v="13600"/>
    <n v="0"/>
    <n v="13600"/>
    <n v="221.59520000000001"/>
    <n v="6"/>
    <n v="215.59520000000001"/>
    <n v="13231.077423999999"/>
  </r>
  <r>
    <x v="28"/>
    <s v="ENYI JIMENEZ C."/>
    <s v="GASOLINA V-POWER"/>
    <s v="1001516992877256"/>
    <n v="4.46"/>
    <n v="1294"/>
    <n v="0"/>
    <n v="1294"/>
    <n v="290.10039999999998"/>
    <n v="6"/>
    <n v="284.10039999999998"/>
    <n v="1267.0877839999998"/>
  </r>
  <r>
    <x v="29"/>
    <s v="ARIEL BALDERA R."/>
    <s v="DIESEL V-POWER"/>
    <s v="1001623730819706"/>
    <n v="12.55"/>
    <n v="3000"/>
    <n v="0"/>
    <n v="3000"/>
    <n v="239.10159999999999"/>
    <n v="6"/>
    <n v="233.10159999999999"/>
    <n v="2925.42508"/>
  </r>
  <r>
    <x v="13"/>
    <s v="ARIEL BALDERA R."/>
    <s v="DIESEL V-POWER"/>
    <s v="1001623730819706"/>
    <n v="4.18"/>
    <n v="1000"/>
    <n v="0"/>
    <n v="1000"/>
    <n v="239.10159999999999"/>
    <n v="6"/>
    <n v="233.10159999999999"/>
    <n v="974.36468799999989"/>
  </r>
  <r>
    <x v="3"/>
    <s v="ARIEL BALDERA R."/>
    <s v="DIESEL REGULAR"/>
    <s v="1001623730819706"/>
    <n v="18.05"/>
    <n v="4000"/>
    <n v="0"/>
    <n v="4000"/>
    <n v="221.59520000000001"/>
    <n v="6"/>
    <n v="215.59520000000001"/>
    <n v="3891.4933600000004"/>
  </r>
  <r>
    <x v="4"/>
    <s v="ARIEL BALDERA R."/>
    <s v="DIESEL REGULAR"/>
    <s v="1001623730819706"/>
    <n v="9.0299999999999994"/>
    <n v="2000"/>
    <n v="0"/>
    <n v="2000"/>
    <n v="221.59520000000001"/>
    <n v="6"/>
    <n v="215.59520000000001"/>
    <n v="1946.824656"/>
  </r>
  <r>
    <x v="28"/>
    <s v="ARIEL BALDERA R."/>
    <s v="DIESEL V-POWER"/>
    <s v="1001623730819706"/>
    <n v="4.18"/>
    <n v="1000"/>
    <n v="0"/>
    <n v="1000"/>
    <n v="239.10159999999999"/>
    <n v="6"/>
    <n v="233.10159999999999"/>
    <n v="974.36468799999989"/>
  </r>
  <r>
    <x v="5"/>
    <s v="ARIEL BALDERA R."/>
    <s v="DIESEL REGULAR"/>
    <s v="1001623730819706"/>
    <n v="9.0299999999999994"/>
    <n v="2000"/>
    <n v="0"/>
    <n v="2000"/>
    <n v="221.59520000000001"/>
    <n v="6"/>
    <n v="215.59520000000001"/>
    <n v="1946.824656"/>
  </r>
  <r>
    <x v="19"/>
    <s v="ARIEL BALDERA R."/>
    <s v="DIESEL V-POWER"/>
    <s v="1001623730819706"/>
    <n v="12.55"/>
    <n v="3000"/>
    <n v="0"/>
    <n v="3000"/>
    <n v="239.10159999999999"/>
    <n v="6"/>
    <n v="233.10159999999999"/>
    <n v="2925.42508"/>
  </r>
  <r>
    <x v="14"/>
    <s v="ARIEL BALDERA R."/>
    <s v="DIESEL V-POWER"/>
    <s v="1001623730819706"/>
    <n v="12.55"/>
    <n v="3000"/>
    <n v="0"/>
    <n v="3000"/>
    <n v="239.10159999999999"/>
    <n v="6"/>
    <n v="233.10159999999999"/>
    <n v="2925.42508"/>
  </r>
  <r>
    <x v="24"/>
    <s v="ARIEL BALDERA R."/>
    <s v="DIESEL V-POWER"/>
    <s v="1001623730819706"/>
    <n v="2.09"/>
    <n v="500"/>
    <n v="0"/>
    <n v="500"/>
    <n v="239.10159999999999"/>
    <n v="6"/>
    <n v="233.10159999999999"/>
    <n v="487.18234399999994"/>
  </r>
  <r>
    <x v="14"/>
    <s v="EDWIN A. CABRERA P."/>
    <s v="GASOLINA PREMIUM"/>
    <s v="1001635369369542"/>
    <n v="20.68"/>
    <n v="6000"/>
    <n v="0"/>
    <n v="6000"/>
    <n v="0"/>
    <n v="6"/>
    <n v="-6"/>
    <n v="-124.08"/>
  </r>
  <r>
    <x v="26"/>
    <s v="EDWIN A. CABRERA P."/>
    <s v="GASOLINA V-POWER"/>
    <s v="1001635369369542"/>
    <n v="21.37"/>
    <n v="6200"/>
    <n v="0"/>
    <n v="6200"/>
    <n v="290.10039999999998"/>
    <n v="6"/>
    <n v="284.10039999999998"/>
    <n v="6071.2255479999994"/>
  </r>
  <r>
    <x v="9"/>
    <s v="EDWIN A. CABRERA P."/>
    <s v="GASOLINA V-POWER"/>
    <s v="1001635369369542"/>
    <n v="13.1"/>
    <n v="3800"/>
    <n v="0"/>
    <n v="3800"/>
    <n v="290.10039999999998"/>
    <n v="6"/>
    <n v="284.10039999999998"/>
    <n v="3721.7152399999995"/>
  </r>
  <r>
    <x v="30"/>
    <s v="EDWIN A. CABRERA P."/>
    <s v="GASOLINA REGULAR"/>
    <s v="1001635369369542"/>
    <n v="13.31"/>
    <n v="3626"/>
    <n v="0"/>
    <n v="3626"/>
    <n v="272.50659999999999"/>
    <n v="6"/>
    <n v="266.50659999999999"/>
    <n v="3547.2028460000001"/>
  </r>
  <r>
    <x v="7"/>
    <s v="EDWIN A. CABRERA P."/>
    <s v="GASOLINA V-POWER"/>
    <s v="1001635369369542"/>
    <n v="13.79"/>
    <n v="4000"/>
    <n v="0"/>
    <n v="4000"/>
    <n v="290.10039999999998"/>
    <n v="6"/>
    <n v="284.10039999999998"/>
    <n v="3917.7445159999993"/>
  </r>
  <r>
    <x v="12"/>
    <s v="EDWIN A. CABRERA P."/>
    <s v="GASOLINA REGULAR"/>
    <s v="1001635369369542"/>
    <n v="17.89"/>
    <n v="4874"/>
    <n v="0"/>
    <n v="4874"/>
    <n v="272.50659999999999"/>
    <n v="6"/>
    <n v="266.50659999999999"/>
    <n v="4767.8030740000004"/>
  </r>
  <r>
    <x v="18"/>
    <s v="EDWIN A. CABRERA P."/>
    <s v="GASOLINA REGULAR"/>
    <s v="1001635369369542"/>
    <n v="5.5"/>
    <n v="1500"/>
    <n v="0"/>
    <n v="1500"/>
    <n v="272.50659999999999"/>
    <n v="6"/>
    <n v="266.50659999999999"/>
    <n v="1465.7863"/>
  </r>
  <r>
    <x v="25"/>
    <s v="JAVIER MARCIAL I."/>
    <s v="DIESEL REGULAR"/>
    <s v="1001648278339195"/>
    <n v="6.77"/>
    <n v="1500"/>
    <n v="0"/>
    <n v="1500"/>
    <n v="221.59520000000001"/>
    <n v="6"/>
    <n v="215.59520000000001"/>
    <n v="1459.579504"/>
  </r>
  <r>
    <x v="23"/>
    <s v="JAVIER MARCIAL I."/>
    <s v="DIESEL REGULAR"/>
    <s v="1001648278339195"/>
    <n v="18.05"/>
    <n v="4000"/>
    <n v="0"/>
    <n v="4000"/>
    <n v="221.59520000000001"/>
    <n v="6"/>
    <n v="215.59520000000001"/>
    <n v="3891.4933600000004"/>
  </r>
  <r>
    <x v="20"/>
    <s v="JAVIER MARCIAL I."/>
    <s v="DIESEL REGULAR"/>
    <s v="1001648278339195"/>
    <n v="4.51"/>
    <n v="1000"/>
    <n v="0"/>
    <n v="1000"/>
    <n v="221.59520000000001"/>
    <n v="6"/>
    <n v="215.59520000000001"/>
    <n v="972.33435199999997"/>
  </r>
  <r>
    <x v="14"/>
    <s v="JAVIER MARCIAL I."/>
    <s v="DIESEL REGULAR"/>
    <s v="1001648278339195"/>
    <n v="9.0299999999999994"/>
    <n v="2000"/>
    <n v="0"/>
    <n v="2000"/>
    <n v="221.59520000000001"/>
    <n v="6"/>
    <n v="215.59520000000001"/>
    <n v="1946.824656"/>
  </r>
  <r>
    <x v="17"/>
    <s v="JAVIER MARCIAL I."/>
    <s v="DIESEL REGULAR"/>
    <s v="1001648278339195"/>
    <n v="9.0299999999999994"/>
    <n v="2000"/>
    <n v="0"/>
    <n v="2000"/>
    <n v="221.59520000000001"/>
    <n v="6"/>
    <n v="215.59520000000001"/>
    <n v="1946.824656"/>
  </r>
  <r>
    <x v="19"/>
    <s v="JAVIER MARCIAL I."/>
    <s v="DIESEL V-POWER"/>
    <s v="1001648278339195"/>
    <n v="8.36"/>
    <n v="2000"/>
    <n v="0"/>
    <n v="2000"/>
    <n v="239.10159999999999"/>
    <n v="6"/>
    <n v="233.10159999999999"/>
    <n v="1948.7293759999998"/>
  </r>
  <r>
    <x v="18"/>
    <s v="JAVIER MARCIAL I."/>
    <s v="DIESEL V-POWER"/>
    <s v="1001648278339195"/>
    <n v="8.36"/>
    <n v="2000"/>
    <n v="0"/>
    <n v="2000"/>
    <n v="239.10159999999999"/>
    <n v="6"/>
    <n v="233.10159999999999"/>
    <n v="1948.7293759999998"/>
  </r>
  <r>
    <x v="1"/>
    <s v="NELSON M. HENRIQUEZ M."/>
    <s v="DIESEL REGULAR"/>
    <s v="1001666971382528"/>
    <n v="22.56"/>
    <n v="5000"/>
    <n v="0"/>
    <n v="5000"/>
    <n v="221.59520000000001"/>
    <n v="6"/>
    <n v="215.59520000000001"/>
    <n v="4863.8277120000002"/>
  </r>
  <r>
    <x v="13"/>
    <s v="NELSON M. HENRIQUEZ M."/>
    <s v="DIESEL REGULAR"/>
    <s v="1001666971382528"/>
    <n v="40.61"/>
    <n v="9000"/>
    <n v="0"/>
    <n v="9000"/>
    <n v="221.59520000000001"/>
    <n v="6"/>
    <n v="215.59520000000001"/>
    <n v="8755.3210720000006"/>
  </r>
  <r>
    <x v="13"/>
    <s v="NELSON M. HENRIQUEZ M."/>
    <s v="DIESEL REGULAR"/>
    <s v="1001666971382528"/>
    <n v="13.54"/>
    <n v="3000"/>
    <n v="0"/>
    <n v="3000"/>
    <n v="221.59520000000001"/>
    <n v="6"/>
    <n v="215.59520000000001"/>
    <n v="2919.1590080000001"/>
  </r>
  <r>
    <x v="17"/>
    <s v="NELSON M. HENRIQUEZ M."/>
    <s v="DIESEL REGULAR"/>
    <s v="1001666971382528"/>
    <n v="13.54"/>
    <n v="3000"/>
    <n v="0"/>
    <n v="3000"/>
    <n v="221.59520000000001"/>
    <n v="6"/>
    <n v="215.59520000000001"/>
    <n v="2919.1590080000001"/>
  </r>
  <r>
    <x v="23"/>
    <s v="NELSON M. HENRIQUEZ M."/>
    <s v="DIESEL REGULAR"/>
    <s v="1001666971382528"/>
    <n v="45.12"/>
    <n v="9999"/>
    <n v="0"/>
    <n v="9999"/>
    <n v="221.59520000000001"/>
    <n v="6"/>
    <n v="215.59520000000001"/>
    <n v="9727.6554240000005"/>
  </r>
  <r>
    <x v="23"/>
    <s v="NELSON M. HENRIQUEZ M."/>
    <s v="DIESEL REGULAR"/>
    <s v="1001666971382528"/>
    <n v="22.56"/>
    <n v="5000"/>
    <n v="0"/>
    <n v="5000"/>
    <n v="221.59520000000001"/>
    <n v="6"/>
    <n v="215.59520000000001"/>
    <n v="4863.8277120000002"/>
  </r>
  <r>
    <x v="0"/>
    <s v="NELSON M. HENRIQUEZ M."/>
    <s v="DIESEL REGULAR"/>
    <s v="1001666971382528"/>
    <n v="45.13"/>
    <n v="10000"/>
    <n v="0"/>
    <n v="10000"/>
    <n v="221.59520000000001"/>
    <n v="6"/>
    <n v="215.59520000000001"/>
    <n v="9729.8113760000015"/>
  </r>
  <r>
    <x v="14"/>
    <s v="TRANSPORTE A R W SRL"/>
    <s v="DIESEL V-POWER"/>
    <s v="1001670014520862"/>
    <n v="14.15"/>
    <n v="3384"/>
    <n v="0"/>
    <n v="3384"/>
    <n v="239.10159999999999"/>
    <n v="6"/>
    <n v="233.10159999999999"/>
    <n v="3298.3876399999999"/>
  </r>
  <r>
    <x v="26"/>
    <s v="TRANSPORTE A R W SRL"/>
    <s v="GASOLINA V-POWER"/>
    <s v="1001670014520862"/>
    <n v="3.45"/>
    <n v="1000"/>
    <n v="0"/>
    <n v="1000"/>
    <n v="290.10039999999998"/>
    <n v="6"/>
    <n v="284.10039999999998"/>
    <n v="980.14638000000002"/>
  </r>
  <r>
    <x v="8"/>
    <s v="TRANSPORTE A R W SRL"/>
    <s v="DIESEL V-POWER"/>
    <s v="1001670014520862"/>
    <n v="13.51"/>
    <n v="3231.4"/>
    <n v="0"/>
    <n v="3231.4"/>
    <n v="239.10159999999999"/>
    <n v="6"/>
    <n v="233.10159999999999"/>
    <n v="3149.202616"/>
  </r>
  <r>
    <x v="1"/>
    <s v="TRANSPORTE A R W SRL"/>
    <s v="GASOLINA V-POWER"/>
    <s v="1001670014520862"/>
    <n v="0.59"/>
    <n v="172"/>
    <n v="0"/>
    <n v="172"/>
    <n v="290.10039999999998"/>
    <n v="6"/>
    <n v="284.10039999999998"/>
    <n v="167.61923599999997"/>
  </r>
  <r>
    <x v="0"/>
    <s v="FELIPE COTES R."/>
    <s v="DIESEL REGULAR"/>
    <s v="1001726383544932"/>
    <n v="13.54"/>
    <n v="3000"/>
    <n v="0"/>
    <n v="3000"/>
    <n v="221.59520000000001"/>
    <n v="6"/>
    <n v="215.59520000000001"/>
    <n v="2919.1590080000001"/>
  </r>
  <r>
    <x v="15"/>
    <s v="MARTIN DE J. HERNANDEZ Z."/>
    <s v="DIESEL REGULAR"/>
    <s v="1001844930199873"/>
    <n v="18.05"/>
    <n v="4000"/>
    <n v="0"/>
    <n v="4000"/>
    <n v="221.59520000000001"/>
    <n v="6"/>
    <n v="215.59520000000001"/>
    <n v="3891.4933600000004"/>
  </r>
  <r>
    <x v="13"/>
    <s v="MARTIN DE J. HERNANDEZ Z."/>
    <s v="DIESEL REGULAR"/>
    <s v="1001844930199873"/>
    <n v="18.05"/>
    <n v="4000"/>
    <n v="0"/>
    <n v="4000"/>
    <n v="221.59520000000001"/>
    <n v="6"/>
    <n v="215.59520000000001"/>
    <n v="3891.4933600000004"/>
  </r>
  <r>
    <x v="22"/>
    <s v="MARTIN DE J. HERNANDEZ Z."/>
    <s v="GASOLINA V-POWER"/>
    <s v="1001844930199873"/>
    <n v="6.89"/>
    <n v="2000"/>
    <n v="0"/>
    <n v="2000"/>
    <n v="290.10039999999998"/>
    <n v="6"/>
    <n v="284.10039999999998"/>
    <n v="1957.4517559999997"/>
  </r>
  <r>
    <x v="13"/>
    <s v="ELVIN ARIAS R."/>
    <s v="DIESEL REGULAR"/>
    <s v="1001885020064907"/>
    <n v="45.13"/>
    <n v="10000"/>
    <n v="0"/>
    <n v="10000"/>
    <n v="221.59520000000001"/>
    <n v="6"/>
    <n v="215.59520000000001"/>
    <n v="9729.8113760000015"/>
  </r>
  <r>
    <x v="13"/>
    <s v="ELVIN ARIAS R."/>
    <s v="DIESEL V-POWER"/>
    <s v="1001885020064907"/>
    <n v="20.91"/>
    <n v="5000"/>
    <n v="0"/>
    <n v="5000"/>
    <n v="239.10159999999999"/>
    <n v="6"/>
    <n v="233.10159999999999"/>
    <n v="4874.1544560000002"/>
  </r>
  <r>
    <x v="5"/>
    <s v="HANLET M. MATEO V."/>
    <s v="DIESEL REGULAR"/>
    <s v="1001916957389929"/>
    <n v="45.12"/>
    <n v="9999"/>
    <n v="0"/>
    <n v="9999"/>
    <n v="221.59520000000001"/>
    <n v="6"/>
    <n v="215.59520000000001"/>
    <n v="9727.6554240000005"/>
  </r>
  <r>
    <x v="5"/>
    <s v="HANLET M. MATEO V."/>
    <s v="DIESEL REGULAR"/>
    <s v="1001916957389929"/>
    <n v="45.12"/>
    <n v="9999"/>
    <n v="0"/>
    <n v="9999"/>
    <n v="221.59520000000001"/>
    <n v="6"/>
    <n v="215.59520000000001"/>
    <n v="9727.6554240000005"/>
  </r>
  <r>
    <x v="25"/>
    <s v="HANLET M. MATEO V."/>
    <s v="DIESEL REGULAR"/>
    <s v="1001916957389929"/>
    <n v="45.13"/>
    <n v="10000"/>
    <n v="0"/>
    <n v="10000"/>
    <n v="221.59520000000001"/>
    <n v="6"/>
    <n v="215.59520000000001"/>
    <n v="9729.8113760000015"/>
  </r>
  <r>
    <x v="25"/>
    <s v="HANLET M. MATEO V."/>
    <s v="DIESEL REGULAR"/>
    <s v="1001916957389929"/>
    <n v="45.13"/>
    <n v="10000"/>
    <n v="0"/>
    <n v="10000"/>
    <n v="221.59520000000001"/>
    <n v="6"/>
    <n v="215.59520000000001"/>
    <n v="9729.8113760000015"/>
  </r>
  <r>
    <x v="3"/>
    <s v="HANLET M. MATEO V."/>
    <s v="DIESEL REGULAR"/>
    <s v="1001916957389929"/>
    <n v="45.13"/>
    <n v="10000"/>
    <n v="0"/>
    <n v="10000"/>
    <n v="221.59520000000001"/>
    <n v="6"/>
    <n v="215.59520000000001"/>
    <n v="9729.8113760000015"/>
  </r>
  <r>
    <x v="3"/>
    <s v="HANLET M. MATEO V."/>
    <s v="DIESEL REGULAR"/>
    <s v="1001916957389929"/>
    <n v="22.56"/>
    <n v="5000"/>
    <n v="0"/>
    <n v="5000"/>
    <n v="221.59520000000001"/>
    <n v="6"/>
    <n v="215.59520000000001"/>
    <n v="4863.8277120000002"/>
  </r>
  <r>
    <x v="3"/>
    <s v="LYP DRAYEGE LOGISTICS LPDL"/>
    <s v="DIESEL REGULAR"/>
    <s v="1001923524518570"/>
    <n v="67.69"/>
    <n v="15000"/>
    <n v="0"/>
    <n v="15000"/>
    <n v="221.59520000000001"/>
    <n v="6"/>
    <n v="215.59520000000001"/>
    <n v="14593.63908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00C6BB-5E82-47FE-8371-890919FC6703}" name="TablaDinámica1" cacheId="1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336:O368" firstHeaderRow="1" firstDataRow="1" firstDataCol="1"/>
  <pivotFields count="12">
    <pivotField axis="axisRow" showAll="0" sortType="descending">
      <items count="377">
        <item m="1" x="94"/>
        <item m="1" x="123"/>
        <item m="1" x="288"/>
        <item m="1" x="343"/>
        <item m="1" x="193"/>
        <item m="1" x="59"/>
        <item m="1" x="181"/>
        <item m="1" x="70"/>
        <item m="1" x="58"/>
        <item m="1" x="311"/>
        <item m="1" x="57"/>
        <item m="1" x="228"/>
        <item m="1" x="302"/>
        <item m="1" x="56"/>
        <item m="1" x="252"/>
        <item m="1" x="55"/>
        <item m="1" x="242"/>
        <item m="1" x="287"/>
        <item x="12"/>
        <item m="1" x="54"/>
        <item m="1" x="53"/>
        <item m="1" x="286"/>
        <item m="1" x="122"/>
        <item m="1" x="141"/>
        <item m="1" x="211"/>
        <item m="1" x="140"/>
        <item m="1" x="180"/>
        <item m="1" x="145"/>
        <item m="1" x="146"/>
        <item m="1" x="167"/>
        <item m="1" x="251"/>
        <item m="1" x="201"/>
        <item m="1" x="69"/>
        <item m="1" x="100"/>
        <item m="1" x="285"/>
        <item m="1" x="33"/>
        <item m="1" x="183"/>
        <item x="2"/>
        <item m="1" x="319"/>
        <item m="1" x="318"/>
        <item m="1" x="121"/>
        <item m="1" x="68"/>
        <item m="1" x="213"/>
        <item m="1" x="235"/>
        <item m="1" x="312"/>
        <item m="1" x="229"/>
        <item m="1" x="98"/>
        <item m="1" x="107"/>
        <item m="1" x="111"/>
        <item m="1" x="284"/>
        <item x="16"/>
        <item m="1" x="158"/>
        <item m="1" x="212"/>
        <item m="1" x="157"/>
        <item m="1" x="132"/>
        <item m="1" x="67"/>
        <item m="1" x="120"/>
        <item m="1" x="200"/>
        <item m="1" x="364"/>
        <item x="15"/>
        <item m="1" x="52"/>
        <item m="1" x="51"/>
        <item m="1" x="177"/>
        <item m="1" x="176"/>
        <item m="1" x="304"/>
        <item m="1" x="152"/>
        <item m="1" x="50"/>
        <item m="1" x="93"/>
        <item x="11"/>
        <item m="1" x="175"/>
        <item m="1" x="49"/>
        <item m="1" x="48"/>
        <item m="1" x="321"/>
        <item m="1" x="47"/>
        <item m="1" x="352"/>
        <item m="1" x="301"/>
        <item m="1" x="281"/>
        <item m="1" x="256"/>
        <item m="1" x="46"/>
        <item m="1" x="226"/>
        <item m="1" x="362"/>
        <item m="1" x="109"/>
        <item m="1" x="207"/>
        <item m="1" x="174"/>
        <item m="1" x="234"/>
        <item m="1" x="314"/>
        <item m="1" x="270"/>
        <item m="1" x="32"/>
        <item m="1" x="179"/>
        <item x="1"/>
        <item m="1" x="119"/>
        <item m="1" x="255"/>
        <item m="1" x="366"/>
        <item m="1" x="233"/>
        <item m="1" x="303"/>
        <item m="1" x="296"/>
        <item m="1" x="327"/>
        <item m="1" x="101"/>
        <item m="1" x="310"/>
        <item m="1" x="96"/>
        <item m="1" x="283"/>
        <item x="22"/>
        <item m="1" x="150"/>
        <item m="1" x="118"/>
        <item m="1" x="192"/>
        <item m="1" x="222"/>
        <item m="1" x="254"/>
        <item m="1" x="258"/>
        <item m="1" x="45"/>
        <item m="1" x="196"/>
        <item m="1" x="95"/>
        <item m="1" x="232"/>
        <item x="10"/>
        <item m="1" x="317"/>
        <item m="1" x="194"/>
        <item m="1" x="340"/>
        <item m="1" x="156"/>
        <item m="1" x="82"/>
        <item m="1" x="81"/>
        <item m="1" x="80"/>
        <item m="1" x="99"/>
        <item m="1" x="204"/>
        <item m="1" x="44"/>
        <item m="1" x="139"/>
        <item m="1" x="269"/>
        <item m="1" x="110"/>
        <item m="1" x="231"/>
        <item m="1" x="268"/>
        <item m="1" x="173"/>
        <item m="1" x="263"/>
        <item m="1" x="280"/>
        <item x="9"/>
        <item m="1" x="316"/>
        <item m="1" x="92"/>
        <item m="1" x="117"/>
        <item m="1" x="178"/>
        <item m="1" x="112"/>
        <item m="1" x="363"/>
        <item m="1" x="151"/>
        <item m="1" x="43"/>
        <item m="1" x="267"/>
        <item m="1" x="79"/>
        <item m="1" x="266"/>
        <item m="1" x="358"/>
        <item m="1" x="324"/>
        <item m="1" x="108"/>
        <item m="1" x="265"/>
        <item m="1" x="264"/>
        <item m="1" x="271"/>
        <item m="1" x="31"/>
        <item m="1" x="182"/>
        <item m="1" x="97"/>
        <item x="0"/>
        <item m="1" x="189"/>
        <item m="1" x="197"/>
        <item m="1" x="225"/>
        <item m="1" x="42"/>
        <item m="1" x="282"/>
        <item m="1" x="131"/>
        <item m="1" x="253"/>
        <item m="1" x="361"/>
        <item m="1" x="289"/>
        <item m="1" x="116"/>
        <item m="1" x="315"/>
        <item x="8"/>
        <item m="1" x="217"/>
        <item m="1" x="360"/>
        <item m="1" x="203"/>
        <item m="1" x="130"/>
        <item m="1" x="339"/>
        <item x="26"/>
        <item m="1" x="162"/>
        <item m="1" x="41"/>
        <item m="1" x="40"/>
        <item m="1" x="39"/>
        <item m="1" x="38"/>
        <item m="1" x="249"/>
        <item m="1" x="342"/>
        <item m="1" x="278"/>
        <item m="1" x="248"/>
        <item m="1" x="277"/>
        <item m="1" x="276"/>
        <item m="1" x="186"/>
        <item x="7"/>
        <item m="1" x="129"/>
        <item m="1" x="84"/>
        <item m="1" x="115"/>
        <item m="1" x="114"/>
        <item m="1" x="239"/>
        <item m="1" x="227"/>
        <item m="1" x="78"/>
        <item m="1" x="298"/>
        <item x="21"/>
        <item m="1" x="187"/>
        <item m="1" x="195"/>
        <item m="1" x="337"/>
        <item m="1" x="245"/>
        <item m="1" x="165"/>
        <item m="1" x="164"/>
        <item m="1" x="106"/>
        <item x="24"/>
        <item m="1" x="307"/>
        <item m="1" x="244"/>
        <item m="1" x="138"/>
        <item m="1" x="76"/>
        <item m="1" x="166"/>
        <item m="1" x="36"/>
        <item m="1" x="334"/>
        <item m="1" x="370"/>
        <item m="1" x="77"/>
        <item m="1" x="369"/>
        <item x="5"/>
        <item m="1" x="297"/>
        <item m="1" x="295"/>
        <item m="1" x="66"/>
        <item m="1" x="65"/>
        <item m="1" x="137"/>
        <item m="1" x="160"/>
        <item m="1" x="144"/>
        <item m="1" x="143"/>
        <item m="1" x="209"/>
        <item m="1" x="75"/>
        <item m="1" x="37"/>
        <item m="1" x="83"/>
        <item m="1" x="64"/>
        <item m="1" x="105"/>
        <item m="1" x="128"/>
        <item x="6"/>
        <item m="1" x="262"/>
        <item m="1" x="348"/>
        <item m="1" x="63"/>
        <item m="1" x="62"/>
        <item m="1" x="338"/>
        <item m="1" x="136"/>
        <item m="1" x="243"/>
        <item m="1" x="300"/>
        <item m="1" x="299"/>
        <item m="1" x="336"/>
        <item m="1" x="240"/>
        <item m="1" x="275"/>
        <item m="1" x="274"/>
        <item m="1" x="359"/>
        <item m="1" x="273"/>
        <item x="14"/>
        <item m="1" x="329"/>
        <item x="29"/>
        <item m="1" x="341"/>
        <item x="30"/>
        <item m="1" x="294"/>
        <item m="1" x="74"/>
        <item m="1" x="104"/>
        <item m="1" x="347"/>
        <item m="1" x="168"/>
        <item x="20"/>
        <item m="1" x="333"/>
        <item m="1" x="223"/>
        <item m="1" x="320"/>
        <item m="1" x="206"/>
        <item m="1" x="328"/>
        <item x="28"/>
        <item m="1" x="332"/>
        <item m="1" x="221"/>
        <item m="1" x="35"/>
        <item m="1" x="205"/>
        <item m="1" x="210"/>
        <item m="1" x="127"/>
        <item x="4"/>
        <item m="1" x="148"/>
        <item m="1" x="335"/>
        <item m="1" x="350"/>
        <item m="1" x="306"/>
        <item m="1" x="237"/>
        <item m="1" x="293"/>
        <item m="1" x="73"/>
        <item x="19"/>
        <item m="1" x="372"/>
        <item m="1" x="371"/>
        <item m="1" x="261"/>
        <item m="1" x="345"/>
        <item m="1" x="220"/>
        <item m="1" x="292"/>
        <item m="1" x="188"/>
        <item m="1" x="272"/>
        <item m="1" x="126"/>
        <item m="1" x="291"/>
        <item m="1" x="154"/>
        <item x="25"/>
        <item m="1" x="135"/>
        <item m="1" x="159"/>
        <item m="1" x="134"/>
        <item m="1" x="224"/>
        <item m="1" x="346"/>
        <item m="1" x="238"/>
        <item m="1" x="171"/>
        <item m="1" x="308"/>
        <item m="1" x="260"/>
        <item m="1" x="250"/>
        <item m="1" x="142"/>
        <item m="1" x="313"/>
        <item m="1" x="147"/>
        <item m="1" x="357"/>
        <item m="1" x="356"/>
        <item m="1" x="103"/>
        <item m="1" x="184"/>
        <item x="23"/>
        <item m="1" x="216"/>
        <item m="1" x="170"/>
        <item m="1" x="351"/>
        <item m="1" x="155"/>
        <item m="1" x="290"/>
        <item m="1" x="344"/>
        <item m="1" x="185"/>
        <item m="1" x="91"/>
        <item m="1" x="172"/>
        <item m="1" x="323"/>
        <item m="1" x="322"/>
        <item m="1" x="72"/>
        <item m="1" x="202"/>
        <item x="18"/>
        <item m="1" x="125"/>
        <item m="1" x="331"/>
        <item m="1" x="374"/>
        <item m="1" x="373"/>
        <item m="1" x="259"/>
        <item m="1" x="375"/>
        <item m="1" x="34"/>
        <item m="1" x="214"/>
        <item m="1" x="161"/>
        <item m="1" x="169"/>
        <item m="1" x="219"/>
        <item m="1" x="218"/>
        <item m="1" x="191"/>
        <item m="1" x="247"/>
        <item m="1" x="309"/>
        <item m="1" x="133"/>
        <item m="1" x="241"/>
        <item x="3"/>
        <item m="1" x="199"/>
        <item m="1" x="305"/>
        <item m="1" x="149"/>
        <item m="1" x="153"/>
        <item x="27"/>
        <item m="1" x="71"/>
        <item m="1" x="279"/>
        <item m="1" x="326"/>
        <item m="1" x="325"/>
        <item m="1" x="355"/>
        <item m="1" x="246"/>
        <item m="1" x="349"/>
        <item m="1" x="215"/>
        <item m="1" x="163"/>
        <item m="1" x="257"/>
        <item x="17"/>
        <item m="1" x="236"/>
        <item m="1" x="102"/>
        <item m="1" x="113"/>
        <item m="1" x="124"/>
        <item m="1" x="90"/>
        <item m="1" x="60"/>
        <item m="1" x="89"/>
        <item m="1" x="88"/>
        <item m="1" x="87"/>
        <item m="1" x="86"/>
        <item m="1" x="190"/>
        <item m="1" x="330"/>
        <item m="1" x="365"/>
        <item m="1" x="230"/>
        <item m="1" x="198"/>
        <item m="1" x="85"/>
        <item m="1" x="354"/>
        <item m="1" x="353"/>
        <item m="1" x="61"/>
        <item m="1" x="368"/>
        <item m="1" x="367"/>
        <item m="1" x="208"/>
        <item x="13"/>
        <item t="default"/>
      </items>
    </pivotField>
    <pivotField showAll="0"/>
    <pivotField showAll="0"/>
    <pivotField showAll="0"/>
    <pivotField showAll="0"/>
    <pivotField numFmtId="8" showAll="0"/>
    <pivotField numFmtId="8" showAll="0"/>
    <pivotField numFmtId="8" showAll="0"/>
    <pivotField showAll="0"/>
    <pivotField numFmtId="8" showAll="0"/>
    <pivotField numFmtId="8" showAll="0"/>
    <pivotField numFmtId="8" showAll="0"/>
  </pivotFields>
  <rowFields count="1">
    <field x="0"/>
  </rowFields>
  <rowItems count="32">
    <i>
      <x v="18"/>
    </i>
    <i>
      <x v="37"/>
    </i>
    <i>
      <x v="50"/>
    </i>
    <i>
      <x v="59"/>
    </i>
    <i>
      <x v="68"/>
    </i>
    <i>
      <x v="89"/>
    </i>
    <i>
      <x v="101"/>
    </i>
    <i>
      <x v="112"/>
    </i>
    <i>
      <x v="131"/>
    </i>
    <i>
      <x v="152"/>
    </i>
    <i>
      <x v="164"/>
    </i>
    <i>
      <x v="170"/>
    </i>
    <i>
      <x v="183"/>
    </i>
    <i>
      <x v="192"/>
    </i>
    <i>
      <x v="200"/>
    </i>
    <i>
      <x v="211"/>
    </i>
    <i>
      <x v="227"/>
    </i>
    <i>
      <x v="243"/>
    </i>
    <i>
      <x v="245"/>
    </i>
    <i>
      <x v="247"/>
    </i>
    <i>
      <x v="253"/>
    </i>
    <i>
      <x v="259"/>
    </i>
    <i>
      <x v="266"/>
    </i>
    <i>
      <x v="274"/>
    </i>
    <i>
      <x v="286"/>
    </i>
    <i>
      <x v="304"/>
    </i>
    <i>
      <x v="318"/>
    </i>
    <i>
      <x v="336"/>
    </i>
    <i>
      <x v="341"/>
    </i>
    <i>
      <x v="352"/>
    </i>
    <i>
      <x v="37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53FDB-8896-485F-9B49-F566797650E2}">
  <sheetPr filterMode="1"/>
  <dimension ref="A1:O368"/>
  <sheetViews>
    <sheetView showGridLines="0" tabSelected="1" workbookViewId="0">
      <pane xSplit="1" ySplit="1" topLeftCell="H87" activePane="bottomRight" state="frozen"/>
      <selection pane="topRight" activeCell="B1" sqref="B1"/>
      <selection pane="bottomLeft" activeCell="A2" sqref="A2"/>
      <selection pane="bottomRight" activeCell="H87" sqref="H87:H347"/>
    </sheetView>
  </sheetViews>
  <sheetFormatPr baseColWidth="10" defaultColWidth="15.21875" defaultRowHeight="14.4" x14ac:dyDescent="0.3"/>
  <cols>
    <col min="1" max="1" width="15.21875" bestFit="1" customWidth="1"/>
    <col min="2" max="2" width="15.77734375" bestFit="1" customWidth="1"/>
    <col min="3" max="3" width="14.88671875" bestFit="1" customWidth="1"/>
    <col min="4" max="4" width="27.5546875" customWidth="1"/>
    <col min="5" max="10" width="15.88671875" customWidth="1"/>
    <col min="15" max="15" width="16.5546875" bestFit="1" customWidth="1"/>
    <col min="16" max="16" width="17.33203125" bestFit="1" customWidth="1"/>
  </cols>
  <sheetData>
    <row r="1" spans="1:12" ht="43.2" x14ac:dyDescent="0.3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6" t="s">
        <v>120</v>
      </c>
      <c r="J1" s="6" t="s">
        <v>121</v>
      </c>
      <c r="K1" s="6" t="s">
        <v>122</v>
      </c>
      <c r="L1" s="6" t="s">
        <v>123</v>
      </c>
    </row>
    <row r="2" spans="1:12" hidden="1" x14ac:dyDescent="0.3">
      <c r="A2" s="10">
        <v>45363</v>
      </c>
      <c r="B2" s="1" t="s">
        <v>8</v>
      </c>
      <c r="C2" s="1" t="s">
        <v>9</v>
      </c>
      <c r="D2" s="3" t="s">
        <v>10</v>
      </c>
      <c r="E2" s="1">
        <v>16.25</v>
      </c>
      <c r="F2" s="4">
        <v>3600</v>
      </c>
      <c r="G2" s="4">
        <v>0</v>
      </c>
      <c r="H2" s="4">
        <v>3600</v>
      </c>
      <c r="I2" s="5">
        <f>+VLOOKUP($C2,Hoja2!$A$2:$B$7,2,0)</f>
        <v>221.59520000000001</v>
      </c>
      <c r="J2" s="4">
        <v>6</v>
      </c>
      <c r="K2" s="2">
        <f>+I2-J2</f>
        <v>215.59520000000001</v>
      </c>
      <c r="L2" s="2">
        <f>+K2*E2</f>
        <v>3503.422</v>
      </c>
    </row>
    <row r="3" spans="1:12" hidden="1" x14ac:dyDescent="0.3">
      <c r="A3" s="11">
        <v>45485</v>
      </c>
      <c r="B3" s="1" t="s">
        <v>8</v>
      </c>
      <c r="C3" s="1" t="s">
        <v>9</v>
      </c>
      <c r="D3" s="3" t="s">
        <v>10</v>
      </c>
      <c r="E3" s="1">
        <v>14.61</v>
      </c>
      <c r="F3" s="4">
        <v>3238</v>
      </c>
      <c r="G3" s="4">
        <v>0</v>
      </c>
      <c r="H3" s="4">
        <v>3238</v>
      </c>
      <c r="I3" s="5">
        <f>+VLOOKUP($C3,Hoja2!$A$2:$B$7,2,0)</f>
        <v>221.59520000000001</v>
      </c>
      <c r="J3" s="4">
        <v>6</v>
      </c>
      <c r="K3" s="2">
        <f t="shared" ref="K3:K66" si="0">+I3-J3</f>
        <v>215.59520000000001</v>
      </c>
      <c r="L3" s="2">
        <f t="shared" ref="L3:L66" si="1">+K3*E3</f>
        <v>3149.8458719999999</v>
      </c>
    </row>
    <row r="4" spans="1:12" hidden="1" x14ac:dyDescent="0.3">
      <c r="A4" s="11">
        <v>45608</v>
      </c>
      <c r="B4" s="1" t="s">
        <v>8</v>
      </c>
      <c r="C4" s="1" t="s">
        <v>11</v>
      </c>
      <c r="D4" s="3" t="s">
        <v>10</v>
      </c>
      <c r="E4" s="1">
        <v>16.170000000000002</v>
      </c>
      <c r="F4" s="4">
        <v>3866</v>
      </c>
      <c r="G4" s="4">
        <v>0</v>
      </c>
      <c r="H4" s="4">
        <v>3866</v>
      </c>
      <c r="I4" s="5">
        <f>+VLOOKUP($C4,Hoja2!$A$2:$B$7,2,0)</f>
        <v>239.10159999999999</v>
      </c>
      <c r="J4" s="4">
        <v>6</v>
      </c>
      <c r="K4" s="2">
        <f t="shared" si="0"/>
        <v>233.10159999999999</v>
      </c>
      <c r="L4" s="2">
        <f t="shared" si="1"/>
        <v>3769.252872</v>
      </c>
    </row>
    <row r="5" spans="1:12" hidden="1" x14ac:dyDescent="0.3">
      <c r="A5" s="11" t="s">
        <v>126</v>
      </c>
      <c r="B5" s="1" t="s">
        <v>8</v>
      </c>
      <c r="C5" s="1" t="s">
        <v>9</v>
      </c>
      <c r="D5" s="3" t="s">
        <v>10</v>
      </c>
      <c r="E5" s="1">
        <v>14.05</v>
      </c>
      <c r="F5" s="4">
        <v>3113</v>
      </c>
      <c r="G5" s="4">
        <v>0</v>
      </c>
      <c r="H5" s="4">
        <v>3113</v>
      </c>
      <c r="I5" s="5">
        <f>+VLOOKUP($C5,Hoja2!$A$2:$B$7,2,0)</f>
        <v>221.59520000000001</v>
      </c>
      <c r="J5" s="4">
        <v>6</v>
      </c>
      <c r="K5" s="2">
        <f t="shared" si="0"/>
        <v>215.59520000000001</v>
      </c>
      <c r="L5" s="2">
        <f t="shared" si="1"/>
        <v>3029.11256</v>
      </c>
    </row>
    <row r="6" spans="1:12" hidden="1" x14ac:dyDescent="0.3">
      <c r="A6" s="11" t="s">
        <v>127</v>
      </c>
      <c r="B6" s="1" t="s">
        <v>8</v>
      </c>
      <c r="C6" s="1" t="s">
        <v>11</v>
      </c>
      <c r="D6" s="3" t="s">
        <v>10</v>
      </c>
      <c r="E6" s="1">
        <v>17.059999999999999</v>
      </c>
      <c r="F6" s="4">
        <v>4080</v>
      </c>
      <c r="G6" s="4">
        <v>0</v>
      </c>
      <c r="H6" s="4">
        <v>4080</v>
      </c>
      <c r="I6" s="5">
        <f>+VLOOKUP($C6,Hoja2!$A$2:$B$7,2,0)</f>
        <v>239.10159999999999</v>
      </c>
      <c r="J6" s="4">
        <v>6</v>
      </c>
      <c r="K6" s="2">
        <f t="shared" si="0"/>
        <v>233.10159999999999</v>
      </c>
      <c r="L6" s="2">
        <f t="shared" si="1"/>
        <v>3976.7132959999994</v>
      </c>
    </row>
    <row r="7" spans="1:12" hidden="1" x14ac:dyDescent="0.3">
      <c r="A7" s="11" t="s">
        <v>128</v>
      </c>
      <c r="B7" s="1" t="s">
        <v>8</v>
      </c>
      <c r="C7" s="1" t="s">
        <v>11</v>
      </c>
      <c r="D7" s="3" t="s">
        <v>10</v>
      </c>
      <c r="E7" s="1">
        <v>19.45</v>
      </c>
      <c r="F7" s="4">
        <v>4650</v>
      </c>
      <c r="G7" s="4">
        <v>0</v>
      </c>
      <c r="H7" s="4">
        <v>4650</v>
      </c>
      <c r="I7" s="5">
        <f>+VLOOKUP($C7,Hoja2!$A$2:$B$7,2,0)</f>
        <v>239.10159999999999</v>
      </c>
      <c r="J7" s="4">
        <v>6</v>
      </c>
      <c r="K7" s="2">
        <f t="shared" si="0"/>
        <v>233.10159999999999</v>
      </c>
      <c r="L7" s="2">
        <f t="shared" si="1"/>
        <v>4533.8261199999997</v>
      </c>
    </row>
    <row r="8" spans="1:12" ht="28.8" hidden="1" x14ac:dyDescent="0.3">
      <c r="A8" s="11" t="s">
        <v>129</v>
      </c>
      <c r="B8" s="1" t="s">
        <v>12</v>
      </c>
      <c r="C8" s="1" t="s">
        <v>13</v>
      </c>
      <c r="D8" s="3" t="s">
        <v>14</v>
      </c>
      <c r="E8" s="1">
        <v>10.69</v>
      </c>
      <c r="F8" s="4">
        <v>3100</v>
      </c>
      <c r="G8" s="4">
        <v>0</v>
      </c>
      <c r="H8" s="4">
        <v>3100</v>
      </c>
      <c r="I8" s="5">
        <f>+VLOOKUP($C8,Hoja2!$A$2:$B$7,2,0)</f>
        <v>290.10039999999998</v>
      </c>
      <c r="J8" s="4">
        <v>6</v>
      </c>
      <c r="K8" s="2">
        <f t="shared" si="0"/>
        <v>284.10039999999998</v>
      </c>
      <c r="L8" s="2">
        <f t="shared" si="1"/>
        <v>3037.0332759999997</v>
      </c>
    </row>
    <row r="9" spans="1:12" ht="28.8" hidden="1" x14ac:dyDescent="0.3">
      <c r="A9" s="11" t="s">
        <v>130</v>
      </c>
      <c r="B9" s="1" t="s">
        <v>12</v>
      </c>
      <c r="C9" s="1" t="s">
        <v>13</v>
      </c>
      <c r="D9" s="3" t="s">
        <v>14</v>
      </c>
      <c r="E9" s="1">
        <v>17.239999999999998</v>
      </c>
      <c r="F9" s="4">
        <v>5000</v>
      </c>
      <c r="G9" s="4">
        <v>0</v>
      </c>
      <c r="H9" s="4">
        <v>5000</v>
      </c>
      <c r="I9" s="5">
        <f>+VLOOKUP($C9,Hoja2!$A$2:$B$7,2,0)</f>
        <v>290.10039999999998</v>
      </c>
      <c r="J9" s="4">
        <v>6</v>
      </c>
      <c r="K9" s="2">
        <f t="shared" si="0"/>
        <v>284.10039999999998</v>
      </c>
      <c r="L9" s="2">
        <f t="shared" si="1"/>
        <v>4897.890895999999</v>
      </c>
    </row>
    <row r="10" spans="1:12" ht="28.8" hidden="1" x14ac:dyDescent="0.3">
      <c r="A10" s="11" t="s">
        <v>130</v>
      </c>
      <c r="B10" s="1" t="s">
        <v>12</v>
      </c>
      <c r="C10" s="1" t="s">
        <v>13</v>
      </c>
      <c r="D10" s="3" t="s">
        <v>14</v>
      </c>
      <c r="E10" s="1">
        <v>17.239999999999998</v>
      </c>
      <c r="F10" s="4">
        <v>5000</v>
      </c>
      <c r="G10" s="4">
        <v>0</v>
      </c>
      <c r="H10" s="4">
        <v>5000</v>
      </c>
      <c r="I10" s="5">
        <f>+VLOOKUP($C10,Hoja2!$A$2:$B$7,2,0)</f>
        <v>290.10039999999998</v>
      </c>
      <c r="J10" s="4">
        <v>6</v>
      </c>
      <c r="K10" s="2">
        <f t="shared" si="0"/>
        <v>284.10039999999998</v>
      </c>
      <c r="L10" s="2">
        <f t="shared" si="1"/>
        <v>4897.890895999999</v>
      </c>
    </row>
    <row r="11" spans="1:12" ht="28.8" hidden="1" x14ac:dyDescent="0.3">
      <c r="A11" s="11" t="s">
        <v>130</v>
      </c>
      <c r="B11" s="1" t="s">
        <v>12</v>
      </c>
      <c r="C11" s="1" t="s">
        <v>13</v>
      </c>
      <c r="D11" s="3" t="s">
        <v>14</v>
      </c>
      <c r="E11" s="1">
        <v>11.03</v>
      </c>
      <c r="F11" s="4">
        <v>3200</v>
      </c>
      <c r="G11" s="4">
        <v>0</v>
      </c>
      <c r="H11" s="4">
        <v>3200</v>
      </c>
      <c r="I11" s="5">
        <f>+VLOOKUP($C11,Hoja2!$A$2:$B$7,2,0)</f>
        <v>290.10039999999998</v>
      </c>
      <c r="J11" s="4">
        <v>6</v>
      </c>
      <c r="K11" s="2">
        <f t="shared" si="0"/>
        <v>284.10039999999998</v>
      </c>
      <c r="L11" s="2">
        <f t="shared" si="1"/>
        <v>3133.6274119999994</v>
      </c>
    </row>
    <row r="12" spans="1:12" ht="28.8" hidden="1" x14ac:dyDescent="0.3">
      <c r="A12" s="11" t="s">
        <v>130</v>
      </c>
      <c r="B12" s="1" t="s">
        <v>12</v>
      </c>
      <c r="C12" s="1" t="s">
        <v>13</v>
      </c>
      <c r="D12" s="3" t="s">
        <v>14</v>
      </c>
      <c r="E12" s="1">
        <v>11.03</v>
      </c>
      <c r="F12" s="4">
        <v>3200</v>
      </c>
      <c r="G12" s="4">
        <v>0</v>
      </c>
      <c r="H12" s="4">
        <v>3200</v>
      </c>
      <c r="I12" s="5">
        <f>+VLOOKUP($C12,Hoja2!$A$2:$B$7,2,0)</f>
        <v>290.10039999999998</v>
      </c>
      <c r="J12" s="4">
        <v>6</v>
      </c>
      <c r="K12" s="2">
        <f t="shared" si="0"/>
        <v>284.10039999999998</v>
      </c>
      <c r="L12" s="2">
        <f t="shared" si="1"/>
        <v>3133.6274119999994</v>
      </c>
    </row>
    <row r="13" spans="1:12" ht="28.8" hidden="1" x14ac:dyDescent="0.3">
      <c r="A13" s="11">
        <v>45334</v>
      </c>
      <c r="B13" s="1" t="s">
        <v>15</v>
      </c>
      <c r="C13" s="1" t="s">
        <v>11</v>
      </c>
      <c r="D13" s="3" t="s">
        <v>16</v>
      </c>
      <c r="E13" s="1">
        <v>20.91</v>
      </c>
      <c r="F13" s="4">
        <v>5000</v>
      </c>
      <c r="G13" s="4">
        <v>0</v>
      </c>
      <c r="H13" s="4">
        <v>5000</v>
      </c>
      <c r="I13" s="5">
        <f>+VLOOKUP($C13,Hoja2!$A$2:$B$7,2,0)</f>
        <v>239.10159999999999</v>
      </c>
      <c r="J13" s="4">
        <v>6</v>
      </c>
      <c r="K13" s="2">
        <f t="shared" si="0"/>
        <v>233.10159999999999</v>
      </c>
      <c r="L13" s="2">
        <f t="shared" si="1"/>
        <v>4874.1544560000002</v>
      </c>
    </row>
    <row r="14" spans="1:12" ht="28.8" hidden="1" x14ac:dyDescent="0.3">
      <c r="A14" s="11">
        <v>45363</v>
      </c>
      <c r="B14" s="1" t="s">
        <v>15</v>
      </c>
      <c r="C14" s="1" t="s">
        <v>9</v>
      </c>
      <c r="D14" s="3" t="s">
        <v>16</v>
      </c>
      <c r="E14" s="1">
        <v>15.79</v>
      </c>
      <c r="F14" s="4">
        <v>3500</v>
      </c>
      <c r="G14" s="4">
        <v>0</v>
      </c>
      <c r="H14" s="4">
        <v>3500</v>
      </c>
      <c r="I14" s="5">
        <f>+VLOOKUP($C14,Hoja2!$A$2:$B$7,2,0)</f>
        <v>221.59520000000001</v>
      </c>
      <c r="J14" s="4">
        <v>6</v>
      </c>
      <c r="K14" s="2">
        <f t="shared" si="0"/>
        <v>215.59520000000001</v>
      </c>
      <c r="L14" s="2">
        <f t="shared" si="1"/>
        <v>3404.248208</v>
      </c>
    </row>
    <row r="15" spans="1:12" ht="28.8" hidden="1" x14ac:dyDescent="0.3">
      <c r="A15" s="11">
        <v>45394</v>
      </c>
      <c r="B15" s="1" t="s">
        <v>15</v>
      </c>
      <c r="C15" s="1" t="s">
        <v>9</v>
      </c>
      <c r="D15" s="3" t="s">
        <v>16</v>
      </c>
      <c r="E15" s="1">
        <v>15.79</v>
      </c>
      <c r="F15" s="4">
        <v>3500</v>
      </c>
      <c r="G15" s="4">
        <v>0</v>
      </c>
      <c r="H15" s="4">
        <v>3500</v>
      </c>
      <c r="I15" s="5">
        <f>+VLOOKUP($C15,Hoja2!$A$2:$B$7,2,0)</f>
        <v>221.59520000000001</v>
      </c>
      <c r="J15" s="4">
        <v>6</v>
      </c>
      <c r="K15" s="2">
        <f t="shared" si="0"/>
        <v>215.59520000000001</v>
      </c>
      <c r="L15" s="2">
        <f t="shared" si="1"/>
        <v>3404.248208</v>
      </c>
    </row>
    <row r="16" spans="1:12" ht="28.8" hidden="1" x14ac:dyDescent="0.3">
      <c r="A16" s="11">
        <v>45424</v>
      </c>
      <c r="B16" s="1" t="s">
        <v>15</v>
      </c>
      <c r="C16" s="1" t="s">
        <v>11</v>
      </c>
      <c r="D16" s="3" t="s">
        <v>16</v>
      </c>
      <c r="E16" s="1">
        <v>18.82</v>
      </c>
      <c r="F16" s="4">
        <v>4500</v>
      </c>
      <c r="G16" s="4">
        <v>0</v>
      </c>
      <c r="H16" s="4">
        <v>4500</v>
      </c>
      <c r="I16" s="5">
        <f>+VLOOKUP($C16,Hoja2!$A$2:$B$7,2,0)</f>
        <v>239.10159999999999</v>
      </c>
      <c r="J16" s="4">
        <v>6</v>
      </c>
      <c r="K16" s="2">
        <f t="shared" si="0"/>
        <v>233.10159999999999</v>
      </c>
      <c r="L16" s="2">
        <f t="shared" si="1"/>
        <v>4386.9721119999995</v>
      </c>
    </row>
    <row r="17" spans="1:12" ht="28.8" hidden="1" x14ac:dyDescent="0.3">
      <c r="A17" s="11">
        <v>45485</v>
      </c>
      <c r="B17" s="1" t="s">
        <v>15</v>
      </c>
      <c r="C17" s="1" t="s">
        <v>9</v>
      </c>
      <c r="D17" s="3" t="s">
        <v>16</v>
      </c>
      <c r="E17" s="1">
        <v>13.54</v>
      </c>
      <c r="F17" s="4">
        <v>3000</v>
      </c>
      <c r="G17" s="4">
        <v>0</v>
      </c>
      <c r="H17" s="4">
        <v>3000</v>
      </c>
      <c r="I17" s="5">
        <f>+VLOOKUP($C17,Hoja2!$A$2:$B$7,2,0)</f>
        <v>221.59520000000001</v>
      </c>
      <c r="J17" s="4">
        <v>6</v>
      </c>
      <c r="K17" s="2">
        <f t="shared" si="0"/>
        <v>215.59520000000001</v>
      </c>
      <c r="L17" s="2">
        <f t="shared" si="1"/>
        <v>2919.1590080000001</v>
      </c>
    </row>
    <row r="18" spans="1:12" ht="43.2" hidden="1" x14ac:dyDescent="0.3">
      <c r="A18" s="11">
        <v>45485</v>
      </c>
      <c r="B18" s="1" t="s">
        <v>17</v>
      </c>
      <c r="C18" s="1" t="s">
        <v>9</v>
      </c>
      <c r="D18" s="3" t="s">
        <v>18</v>
      </c>
      <c r="E18" s="1">
        <v>13.54</v>
      </c>
      <c r="F18" s="4">
        <v>3000</v>
      </c>
      <c r="G18" s="4">
        <v>0</v>
      </c>
      <c r="H18" s="4">
        <v>3000</v>
      </c>
      <c r="I18" s="5">
        <f>+VLOOKUP($C18,Hoja2!$A$2:$B$7,2,0)</f>
        <v>221.59520000000001</v>
      </c>
      <c r="J18" s="4">
        <v>6</v>
      </c>
      <c r="K18" s="2">
        <f t="shared" si="0"/>
        <v>215.59520000000001</v>
      </c>
      <c r="L18" s="2">
        <f t="shared" si="1"/>
        <v>2919.1590080000001</v>
      </c>
    </row>
    <row r="19" spans="1:12" ht="43.2" hidden="1" x14ac:dyDescent="0.3">
      <c r="A19" s="11">
        <v>45485</v>
      </c>
      <c r="B19" s="1" t="s">
        <v>17</v>
      </c>
      <c r="C19" s="1" t="s">
        <v>9</v>
      </c>
      <c r="D19" s="3" t="s">
        <v>18</v>
      </c>
      <c r="E19" s="1">
        <v>22.56</v>
      </c>
      <c r="F19" s="4">
        <v>5000</v>
      </c>
      <c r="G19" s="4">
        <v>0</v>
      </c>
      <c r="H19" s="4">
        <v>5000</v>
      </c>
      <c r="I19" s="5">
        <f>+VLOOKUP($C19,Hoja2!$A$2:$B$7,2,0)</f>
        <v>221.59520000000001</v>
      </c>
      <c r="J19" s="4">
        <v>6</v>
      </c>
      <c r="K19" s="2">
        <f t="shared" si="0"/>
        <v>215.59520000000001</v>
      </c>
      <c r="L19" s="2">
        <f t="shared" si="1"/>
        <v>4863.8277120000002</v>
      </c>
    </row>
    <row r="20" spans="1:12" ht="43.2" hidden="1" x14ac:dyDescent="0.3">
      <c r="A20" s="11">
        <v>45485</v>
      </c>
      <c r="B20" s="1" t="s">
        <v>17</v>
      </c>
      <c r="C20" s="1" t="s">
        <v>9</v>
      </c>
      <c r="D20" s="3" t="s">
        <v>18</v>
      </c>
      <c r="E20" s="1">
        <v>27.08</v>
      </c>
      <c r="F20" s="4">
        <v>6000</v>
      </c>
      <c r="G20" s="4">
        <v>0</v>
      </c>
      <c r="H20" s="4">
        <v>6000</v>
      </c>
      <c r="I20" s="5">
        <f>+VLOOKUP($C20,Hoja2!$A$2:$B$7,2,0)</f>
        <v>221.59520000000001</v>
      </c>
      <c r="J20" s="4">
        <v>6</v>
      </c>
      <c r="K20" s="2">
        <f t="shared" si="0"/>
        <v>215.59520000000001</v>
      </c>
      <c r="L20" s="2">
        <f t="shared" si="1"/>
        <v>5838.3180160000002</v>
      </c>
    </row>
    <row r="21" spans="1:12" ht="43.2" hidden="1" x14ac:dyDescent="0.3">
      <c r="A21" s="11">
        <v>45516</v>
      </c>
      <c r="B21" s="1" t="s">
        <v>17</v>
      </c>
      <c r="C21" s="1" t="s">
        <v>9</v>
      </c>
      <c r="D21" s="3" t="s">
        <v>18</v>
      </c>
      <c r="E21" s="1">
        <v>13.54</v>
      </c>
      <c r="F21" s="4">
        <v>3000</v>
      </c>
      <c r="G21" s="4">
        <v>0</v>
      </c>
      <c r="H21" s="4">
        <v>3000</v>
      </c>
      <c r="I21" s="5">
        <f>+VLOOKUP($C21,Hoja2!$A$2:$B$7,2,0)</f>
        <v>221.59520000000001</v>
      </c>
      <c r="J21" s="4">
        <v>6</v>
      </c>
      <c r="K21" s="2">
        <f t="shared" si="0"/>
        <v>215.59520000000001</v>
      </c>
      <c r="L21" s="2">
        <f t="shared" si="1"/>
        <v>2919.1590080000001</v>
      </c>
    </row>
    <row r="22" spans="1:12" ht="43.2" hidden="1" x14ac:dyDescent="0.3">
      <c r="A22" s="11">
        <v>45516</v>
      </c>
      <c r="B22" s="1" t="s">
        <v>17</v>
      </c>
      <c r="C22" s="1" t="s">
        <v>9</v>
      </c>
      <c r="D22" s="3" t="s">
        <v>18</v>
      </c>
      <c r="E22" s="1">
        <v>27.08</v>
      </c>
      <c r="F22" s="4">
        <v>6000</v>
      </c>
      <c r="G22" s="4">
        <v>0</v>
      </c>
      <c r="H22" s="4">
        <v>6000</v>
      </c>
      <c r="I22" s="5">
        <f>+VLOOKUP($C22,Hoja2!$A$2:$B$7,2,0)</f>
        <v>221.59520000000001</v>
      </c>
      <c r="J22" s="4">
        <v>6</v>
      </c>
      <c r="K22" s="2">
        <f t="shared" si="0"/>
        <v>215.59520000000001</v>
      </c>
      <c r="L22" s="2">
        <f t="shared" si="1"/>
        <v>5838.3180160000002</v>
      </c>
    </row>
    <row r="23" spans="1:12" ht="43.2" hidden="1" x14ac:dyDescent="0.3">
      <c r="A23" s="11">
        <v>45516</v>
      </c>
      <c r="B23" s="1" t="s">
        <v>17</v>
      </c>
      <c r="C23" s="1" t="s">
        <v>9</v>
      </c>
      <c r="D23" s="3" t="s">
        <v>18</v>
      </c>
      <c r="E23" s="1">
        <v>31.59</v>
      </c>
      <c r="F23" s="4">
        <v>7000</v>
      </c>
      <c r="G23" s="4">
        <v>0</v>
      </c>
      <c r="H23" s="4">
        <v>7000</v>
      </c>
      <c r="I23" s="5">
        <f>+VLOOKUP($C23,Hoja2!$A$2:$B$7,2,0)</f>
        <v>221.59520000000001</v>
      </c>
      <c r="J23" s="4">
        <v>6</v>
      </c>
      <c r="K23" s="2">
        <f t="shared" si="0"/>
        <v>215.59520000000001</v>
      </c>
      <c r="L23" s="2">
        <f t="shared" si="1"/>
        <v>6810.652368</v>
      </c>
    </row>
    <row r="24" spans="1:12" ht="43.2" hidden="1" x14ac:dyDescent="0.3">
      <c r="A24" s="11">
        <v>45608</v>
      </c>
      <c r="B24" s="1" t="s">
        <v>17</v>
      </c>
      <c r="C24" s="1" t="s">
        <v>9</v>
      </c>
      <c r="D24" s="3" t="s">
        <v>18</v>
      </c>
      <c r="E24" s="1">
        <v>13.54</v>
      </c>
      <c r="F24" s="4">
        <v>3000</v>
      </c>
      <c r="G24" s="4">
        <v>0</v>
      </c>
      <c r="H24" s="4">
        <v>3000</v>
      </c>
      <c r="I24" s="5">
        <f>+VLOOKUP($C24,Hoja2!$A$2:$B$7,2,0)</f>
        <v>221.59520000000001</v>
      </c>
      <c r="J24" s="4">
        <v>6</v>
      </c>
      <c r="K24" s="2">
        <f t="shared" si="0"/>
        <v>215.59520000000001</v>
      </c>
      <c r="L24" s="2">
        <f t="shared" si="1"/>
        <v>2919.1590080000001</v>
      </c>
    </row>
    <row r="25" spans="1:12" ht="43.2" hidden="1" x14ac:dyDescent="0.3">
      <c r="A25" s="11">
        <v>45608</v>
      </c>
      <c r="B25" s="1" t="s">
        <v>17</v>
      </c>
      <c r="C25" s="1" t="s">
        <v>9</v>
      </c>
      <c r="D25" s="3" t="s">
        <v>18</v>
      </c>
      <c r="E25" s="1">
        <v>6.77</v>
      </c>
      <c r="F25" s="4">
        <v>1500</v>
      </c>
      <c r="G25" s="4">
        <v>0</v>
      </c>
      <c r="H25" s="4">
        <v>1500</v>
      </c>
      <c r="I25" s="5">
        <f>+VLOOKUP($C25,Hoja2!$A$2:$B$7,2,0)</f>
        <v>221.59520000000001</v>
      </c>
      <c r="J25" s="4">
        <v>6</v>
      </c>
      <c r="K25" s="2">
        <f t="shared" si="0"/>
        <v>215.59520000000001</v>
      </c>
      <c r="L25" s="2">
        <f t="shared" si="1"/>
        <v>1459.579504</v>
      </c>
    </row>
    <row r="26" spans="1:12" ht="43.2" hidden="1" x14ac:dyDescent="0.3">
      <c r="A26" s="11">
        <v>45638</v>
      </c>
      <c r="B26" s="1" t="s">
        <v>17</v>
      </c>
      <c r="C26" s="1" t="s">
        <v>9</v>
      </c>
      <c r="D26" s="3" t="s">
        <v>18</v>
      </c>
      <c r="E26" s="1">
        <v>31.59</v>
      </c>
      <c r="F26" s="4">
        <v>7000</v>
      </c>
      <c r="G26" s="4">
        <v>0</v>
      </c>
      <c r="H26" s="4">
        <v>7000</v>
      </c>
      <c r="I26" s="5">
        <f>+VLOOKUP($C26,Hoja2!$A$2:$B$7,2,0)</f>
        <v>221.59520000000001</v>
      </c>
      <c r="J26" s="4">
        <v>6</v>
      </c>
      <c r="K26" s="2">
        <f t="shared" si="0"/>
        <v>215.59520000000001</v>
      </c>
      <c r="L26" s="2">
        <f t="shared" si="1"/>
        <v>6810.652368</v>
      </c>
    </row>
    <row r="27" spans="1:12" ht="43.2" hidden="1" x14ac:dyDescent="0.3">
      <c r="A27" s="11">
        <v>45638</v>
      </c>
      <c r="B27" s="1" t="s">
        <v>17</v>
      </c>
      <c r="C27" s="1" t="s">
        <v>9</v>
      </c>
      <c r="D27" s="3" t="s">
        <v>18</v>
      </c>
      <c r="E27" s="1">
        <v>9.0299999999999994</v>
      </c>
      <c r="F27" s="4">
        <v>2000</v>
      </c>
      <c r="G27" s="4">
        <v>0</v>
      </c>
      <c r="H27" s="4">
        <v>2000</v>
      </c>
      <c r="I27" s="5">
        <f>+VLOOKUP($C27,Hoja2!$A$2:$B$7,2,0)</f>
        <v>221.59520000000001</v>
      </c>
      <c r="J27" s="4">
        <v>6</v>
      </c>
      <c r="K27" s="2">
        <f t="shared" si="0"/>
        <v>215.59520000000001</v>
      </c>
      <c r="L27" s="2">
        <f t="shared" si="1"/>
        <v>1946.824656</v>
      </c>
    </row>
    <row r="28" spans="1:12" ht="43.2" hidden="1" x14ac:dyDescent="0.3">
      <c r="A28" s="11">
        <v>45638</v>
      </c>
      <c r="B28" s="1" t="s">
        <v>17</v>
      </c>
      <c r="C28" s="1" t="s">
        <v>9</v>
      </c>
      <c r="D28" s="3" t="s">
        <v>18</v>
      </c>
      <c r="E28" s="1">
        <v>9.0299999999999994</v>
      </c>
      <c r="F28" s="4">
        <v>2000.2</v>
      </c>
      <c r="G28" s="4">
        <v>0</v>
      </c>
      <c r="H28" s="4">
        <v>2000.2</v>
      </c>
      <c r="I28" s="5">
        <f>+VLOOKUP($C28,Hoja2!$A$2:$B$7,2,0)</f>
        <v>221.59520000000001</v>
      </c>
      <c r="J28" s="4">
        <v>6</v>
      </c>
      <c r="K28" s="2">
        <f t="shared" si="0"/>
        <v>215.59520000000001</v>
      </c>
      <c r="L28" s="2">
        <f t="shared" si="1"/>
        <v>1946.824656</v>
      </c>
    </row>
    <row r="29" spans="1:12" ht="43.2" hidden="1" x14ac:dyDescent="0.3">
      <c r="A29" s="11">
        <v>45638</v>
      </c>
      <c r="B29" s="1" t="s">
        <v>17</v>
      </c>
      <c r="C29" s="1" t="s">
        <v>9</v>
      </c>
      <c r="D29" s="3" t="s">
        <v>18</v>
      </c>
      <c r="E29" s="1">
        <v>31.59</v>
      </c>
      <c r="F29" s="4">
        <v>7000</v>
      </c>
      <c r="G29" s="4">
        <v>0</v>
      </c>
      <c r="H29" s="4">
        <v>7000</v>
      </c>
      <c r="I29" s="5">
        <f>+VLOOKUP($C29,Hoja2!$A$2:$B$7,2,0)</f>
        <v>221.59520000000001</v>
      </c>
      <c r="J29" s="4">
        <v>6</v>
      </c>
      <c r="K29" s="2">
        <f t="shared" si="0"/>
        <v>215.59520000000001</v>
      </c>
      <c r="L29" s="2">
        <f t="shared" si="1"/>
        <v>6810.652368</v>
      </c>
    </row>
    <row r="30" spans="1:12" ht="43.2" hidden="1" x14ac:dyDescent="0.3">
      <c r="A30" s="11">
        <v>45638</v>
      </c>
      <c r="B30" s="1" t="s">
        <v>17</v>
      </c>
      <c r="C30" s="1" t="s">
        <v>9</v>
      </c>
      <c r="D30" s="3" t="s">
        <v>18</v>
      </c>
      <c r="E30" s="1">
        <v>13.54</v>
      </c>
      <c r="F30" s="4">
        <v>3000</v>
      </c>
      <c r="G30" s="4">
        <v>0</v>
      </c>
      <c r="H30" s="4">
        <v>3000</v>
      </c>
      <c r="I30" s="5">
        <f>+VLOOKUP($C30,Hoja2!$A$2:$B$7,2,0)</f>
        <v>221.59520000000001</v>
      </c>
      <c r="J30" s="4">
        <v>6</v>
      </c>
      <c r="K30" s="2">
        <f t="shared" si="0"/>
        <v>215.59520000000001</v>
      </c>
      <c r="L30" s="2">
        <f t="shared" si="1"/>
        <v>2919.1590080000001</v>
      </c>
    </row>
    <row r="31" spans="1:12" ht="43.2" hidden="1" x14ac:dyDescent="0.3">
      <c r="A31" s="11" t="s">
        <v>131</v>
      </c>
      <c r="B31" s="1" t="s">
        <v>17</v>
      </c>
      <c r="C31" s="1" t="s">
        <v>9</v>
      </c>
      <c r="D31" s="3" t="s">
        <v>18</v>
      </c>
      <c r="E31" s="1">
        <v>13.54</v>
      </c>
      <c r="F31" s="4">
        <v>3000</v>
      </c>
      <c r="G31" s="4">
        <v>0</v>
      </c>
      <c r="H31" s="4">
        <v>3000</v>
      </c>
      <c r="I31" s="5">
        <f>+VLOOKUP($C31,Hoja2!$A$2:$B$7,2,0)</f>
        <v>221.59520000000001</v>
      </c>
      <c r="J31" s="4">
        <v>6</v>
      </c>
      <c r="K31" s="2">
        <f t="shared" si="0"/>
        <v>215.59520000000001</v>
      </c>
      <c r="L31" s="2">
        <f t="shared" si="1"/>
        <v>2919.1590080000001</v>
      </c>
    </row>
    <row r="32" spans="1:12" ht="43.2" hidden="1" x14ac:dyDescent="0.3">
      <c r="A32" s="11" t="s">
        <v>131</v>
      </c>
      <c r="B32" s="1" t="s">
        <v>17</v>
      </c>
      <c r="C32" s="1" t="s">
        <v>9</v>
      </c>
      <c r="D32" s="3" t="s">
        <v>18</v>
      </c>
      <c r="E32" s="1">
        <v>4.51</v>
      </c>
      <c r="F32" s="4">
        <v>1000</v>
      </c>
      <c r="G32" s="4">
        <v>0</v>
      </c>
      <c r="H32" s="4">
        <v>1000</v>
      </c>
      <c r="I32" s="5">
        <f>+VLOOKUP($C32,Hoja2!$A$2:$B$7,2,0)</f>
        <v>221.59520000000001</v>
      </c>
      <c r="J32" s="4">
        <v>6</v>
      </c>
      <c r="K32" s="2">
        <f t="shared" si="0"/>
        <v>215.59520000000001</v>
      </c>
      <c r="L32" s="2">
        <f t="shared" si="1"/>
        <v>972.33435199999997</v>
      </c>
    </row>
    <row r="33" spans="1:12" ht="43.2" hidden="1" x14ac:dyDescent="0.3">
      <c r="A33" s="11" t="s">
        <v>132</v>
      </c>
      <c r="B33" s="1" t="s">
        <v>17</v>
      </c>
      <c r="C33" s="1" t="s">
        <v>9</v>
      </c>
      <c r="D33" s="3" t="s">
        <v>18</v>
      </c>
      <c r="E33" s="1">
        <v>31.59</v>
      </c>
      <c r="F33" s="4">
        <v>7000</v>
      </c>
      <c r="G33" s="4">
        <v>0</v>
      </c>
      <c r="H33" s="4">
        <v>7000</v>
      </c>
      <c r="I33" s="5">
        <f>+VLOOKUP($C33,Hoja2!$A$2:$B$7,2,0)</f>
        <v>221.59520000000001</v>
      </c>
      <c r="J33" s="4">
        <v>6</v>
      </c>
      <c r="K33" s="2">
        <f t="shared" si="0"/>
        <v>215.59520000000001</v>
      </c>
      <c r="L33" s="2">
        <f t="shared" si="1"/>
        <v>6810.652368</v>
      </c>
    </row>
    <row r="34" spans="1:12" ht="43.2" hidden="1" x14ac:dyDescent="0.3">
      <c r="A34" s="11" t="s">
        <v>132</v>
      </c>
      <c r="B34" s="1" t="s">
        <v>17</v>
      </c>
      <c r="C34" s="1" t="s">
        <v>9</v>
      </c>
      <c r="D34" s="3" t="s">
        <v>18</v>
      </c>
      <c r="E34" s="1">
        <v>27.08</v>
      </c>
      <c r="F34" s="4">
        <v>6000</v>
      </c>
      <c r="G34" s="4">
        <v>0</v>
      </c>
      <c r="H34" s="4">
        <v>6000</v>
      </c>
      <c r="I34" s="5">
        <f>+VLOOKUP($C34,Hoja2!$A$2:$B$7,2,0)</f>
        <v>221.59520000000001</v>
      </c>
      <c r="J34" s="4">
        <v>6</v>
      </c>
      <c r="K34" s="2">
        <f t="shared" si="0"/>
        <v>215.59520000000001</v>
      </c>
      <c r="L34" s="2">
        <f t="shared" si="1"/>
        <v>5838.3180160000002</v>
      </c>
    </row>
    <row r="35" spans="1:12" ht="43.2" hidden="1" x14ac:dyDescent="0.3">
      <c r="A35" s="11" t="s">
        <v>129</v>
      </c>
      <c r="B35" s="1" t="s">
        <v>17</v>
      </c>
      <c r="C35" s="1" t="s">
        <v>9</v>
      </c>
      <c r="D35" s="3" t="s">
        <v>18</v>
      </c>
      <c r="E35" s="1">
        <v>9.0299999999999994</v>
      </c>
      <c r="F35" s="4">
        <v>2000</v>
      </c>
      <c r="G35" s="4">
        <v>0</v>
      </c>
      <c r="H35" s="4">
        <v>2000</v>
      </c>
      <c r="I35" s="5">
        <f>+VLOOKUP($C35,Hoja2!$A$2:$B$7,2,0)</f>
        <v>221.59520000000001</v>
      </c>
      <c r="J35" s="4">
        <v>6</v>
      </c>
      <c r="K35" s="2">
        <f t="shared" si="0"/>
        <v>215.59520000000001</v>
      </c>
      <c r="L35" s="2">
        <f t="shared" si="1"/>
        <v>1946.824656</v>
      </c>
    </row>
    <row r="36" spans="1:12" ht="43.2" hidden="1" x14ac:dyDescent="0.3">
      <c r="A36" s="11" t="s">
        <v>129</v>
      </c>
      <c r="B36" s="1" t="s">
        <v>17</v>
      </c>
      <c r="C36" s="1" t="s">
        <v>9</v>
      </c>
      <c r="D36" s="3" t="s">
        <v>18</v>
      </c>
      <c r="E36" s="1">
        <v>31.59</v>
      </c>
      <c r="F36" s="4">
        <v>7000</v>
      </c>
      <c r="G36" s="4">
        <v>0</v>
      </c>
      <c r="H36" s="4">
        <v>7000</v>
      </c>
      <c r="I36" s="5">
        <f>+VLOOKUP($C36,Hoja2!$A$2:$B$7,2,0)</f>
        <v>221.59520000000001</v>
      </c>
      <c r="J36" s="4">
        <v>6</v>
      </c>
      <c r="K36" s="2">
        <f t="shared" si="0"/>
        <v>215.59520000000001</v>
      </c>
      <c r="L36" s="2">
        <f t="shared" si="1"/>
        <v>6810.652368</v>
      </c>
    </row>
    <row r="37" spans="1:12" ht="43.2" hidden="1" x14ac:dyDescent="0.3">
      <c r="A37" s="11" t="s">
        <v>129</v>
      </c>
      <c r="B37" s="1" t="s">
        <v>17</v>
      </c>
      <c r="C37" s="1" t="s">
        <v>9</v>
      </c>
      <c r="D37" s="3" t="s">
        <v>18</v>
      </c>
      <c r="E37" s="1">
        <v>13.54</v>
      </c>
      <c r="F37" s="4">
        <v>3000</v>
      </c>
      <c r="G37" s="4">
        <v>0</v>
      </c>
      <c r="H37" s="4">
        <v>3000</v>
      </c>
      <c r="I37" s="5">
        <f>+VLOOKUP($C37,Hoja2!$A$2:$B$7,2,0)</f>
        <v>221.59520000000001</v>
      </c>
      <c r="J37" s="4">
        <v>6</v>
      </c>
      <c r="K37" s="2">
        <f t="shared" si="0"/>
        <v>215.59520000000001</v>
      </c>
      <c r="L37" s="2">
        <f t="shared" si="1"/>
        <v>2919.1590080000001</v>
      </c>
    </row>
    <row r="38" spans="1:12" ht="28.8" hidden="1" x14ac:dyDescent="0.3">
      <c r="A38" s="11">
        <v>45547</v>
      </c>
      <c r="B38" s="1" t="s">
        <v>15</v>
      </c>
      <c r="C38" s="1" t="s">
        <v>9</v>
      </c>
      <c r="D38" s="3" t="s">
        <v>16</v>
      </c>
      <c r="E38" s="1">
        <v>4.51</v>
      </c>
      <c r="F38" s="4">
        <v>1000</v>
      </c>
      <c r="G38" s="4">
        <v>0</v>
      </c>
      <c r="H38" s="4">
        <v>1000</v>
      </c>
      <c r="I38" s="5">
        <f>+VLOOKUP($C38,Hoja2!$A$2:$B$7,2,0)</f>
        <v>221.59520000000001</v>
      </c>
      <c r="J38" s="4">
        <v>6</v>
      </c>
      <c r="K38" s="2">
        <f t="shared" si="0"/>
        <v>215.59520000000001</v>
      </c>
      <c r="L38" s="2">
        <f t="shared" si="1"/>
        <v>972.33435199999997</v>
      </c>
    </row>
    <row r="39" spans="1:12" ht="28.8" hidden="1" x14ac:dyDescent="0.3">
      <c r="A39" s="11">
        <v>45577</v>
      </c>
      <c r="B39" s="1" t="s">
        <v>15</v>
      </c>
      <c r="C39" s="1" t="s">
        <v>9</v>
      </c>
      <c r="D39" s="3" t="s">
        <v>16</v>
      </c>
      <c r="E39" s="1">
        <v>4.51</v>
      </c>
      <c r="F39" s="4">
        <v>1000</v>
      </c>
      <c r="G39" s="4">
        <v>0</v>
      </c>
      <c r="H39" s="4">
        <v>1000</v>
      </c>
      <c r="I39" s="5">
        <f>+VLOOKUP($C39,Hoja2!$A$2:$B$7,2,0)</f>
        <v>221.59520000000001</v>
      </c>
      <c r="J39" s="4">
        <v>6</v>
      </c>
      <c r="K39" s="2">
        <f t="shared" si="0"/>
        <v>215.59520000000001</v>
      </c>
      <c r="L39" s="2">
        <f t="shared" si="1"/>
        <v>972.33435199999997</v>
      </c>
    </row>
    <row r="40" spans="1:12" ht="28.8" hidden="1" x14ac:dyDescent="0.3">
      <c r="A40" s="11">
        <v>45608</v>
      </c>
      <c r="B40" s="1" t="s">
        <v>15</v>
      </c>
      <c r="C40" s="1" t="s">
        <v>9</v>
      </c>
      <c r="D40" s="3" t="s">
        <v>16</v>
      </c>
      <c r="E40" s="1">
        <v>20.309999999999999</v>
      </c>
      <c r="F40" s="4">
        <v>4500.3999999999996</v>
      </c>
      <c r="G40" s="4">
        <v>0</v>
      </c>
      <c r="H40" s="4">
        <v>4500.3999999999996</v>
      </c>
      <c r="I40" s="5">
        <f>+VLOOKUP($C40,Hoja2!$A$2:$B$7,2,0)</f>
        <v>221.59520000000001</v>
      </c>
      <c r="J40" s="4">
        <v>6</v>
      </c>
      <c r="K40" s="2">
        <f t="shared" si="0"/>
        <v>215.59520000000001</v>
      </c>
      <c r="L40" s="2">
        <f t="shared" si="1"/>
        <v>4378.7385119999999</v>
      </c>
    </row>
    <row r="41" spans="1:12" ht="28.8" hidden="1" x14ac:dyDescent="0.3">
      <c r="A41" s="11">
        <v>45638</v>
      </c>
      <c r="B41" s="1" t="s">
        <v>15</v>
      </c>
      <c r="C41" s="1" t="s">
        <v>9</v>
      </c>
      <c r="D41" s="3" t="s">
        <v>16</v>
      </c>
      <c r="E41" s="1">
        <v>4.51</v>
      </c>
      <c r="F41" s="4">
        <v>999.6</v>
      </c>
      <c r="G41" s="4">
        <v>0</v>
      </c>
      <c r="H41" s="4">
        <v>999.6</v>
      </c>
      <c r="I41" s="5">
        <f>+VLOOKUP($C41,Hoja2!$A$2:$B$7,2,0)</f>
        <v>221.59520000000001</v>
      </c>
      <c r="J41" s="4">
        <v>6</v>
      </c>
      <c r="K41" s="2">
        <f t="shared" si="0"/>
        <v>215.59520000000001</v>
      </c>
      <c r="L41" s="2">
        <f t="shared" si="1"/>
        <v>972.33435199999997</v>
      </c>
    </row>
    <row r="42" spans="1:12" ht="28.8" hidden="1" x14ac:dyDescent="0.3">
      <c r="A42" s="11" t="s">
        <v>133</v>
      </c>
      <c r="B42" s="1" t="s">
        <v>15</v>
      </c>
      <c r="C42" s="1" t="s">
        <v>11</v>
      </c>
      <c r="D42" s="3" t="s">
        <v>16</v>
      </c>
      <c r="E42" s="1">
        <v>20.91</v>
      </c>
      <c r="F42" s="4">
        <v>5000</v>
      </c>
      <c r="G42" s="4">
        <v>0</v>
      </c>
      <c r="H42" s="4">
        <v>5000</v>
      </c>
      <c r="I42" s="5">
        <f>+VLOOKUP($C42,Hoja2!$A$2:$B$7,2,0)</f>
        <v>239.10159999999999</v>
      </c>
      <c r="J42" s="4">
        <v>6</v>
      </c>
      <c r="K42" s="2">
        <f t="shared" si="0"/>
        <v>233.10159999999999</v>
      </c>
      <c r="L42" s="2">
        <f t="shared" si="1"/>
        <v>4874.1544560000002</v>
      </c>
    </row>
    <row r="43" spans="1:12" ht="28.8" hidden="1" x14ac:dyDescent="0.3">
      <c r="A43" s="11" t="s">
        <v>134</v>
      </c>
      <c r="B43" s="1" t="s">
        <v>15</v>
      </c>
      <c r="C43" s="1" t="s">
        <v>9</v>
      </c>
      <c r="D43" s="3" t="s">
        <v>16</v>
      </c>
      <c r="E43" s="1">
        <v>9.0299999999999994</v>
      </c>
      <c r="F43" s="4">
        <v>2000</v>
      </c>
      <c r="G43" s="4">
        <v>0</v>
      </c>
      <c r="H43" s="4">
        <v>2000</v>
      </c>
      <c r="I43" s="5">
        <f>+VLOOKUP($C43,Hoja2!$A$2:$B$7,2,0)</f>
        <v>221.59520000000001</v>
      </c>
      <c r="J43" s="4">
        <v>6</v>
      </c>
      <c r="K43" s="2">
        <f t="shared" si="0"/>
        <v>215.59520000000001</v>
      </c>
      <c r="L43" s="2">
        <f t="shared" si="1"/>
        <v>1946.824656</v>
      </c>
    </row>
    <row r="44" spans="1:12" ht="28.8" hidden="1" x14ac:dyDescent="0.3">
      <c r="A44" s="11" t="s">
        <v>135</v>
      </c>
      <c r="B44" s="1" t="s">
        <v>15</v>
      </c>
      <c r="C44" s="1" t="s">
        <v>9</v>
      </c>
      <c r="D44" s="3" t="s">
        <v>16</v>
      </c>
      <c r="E44" s="1">
        <v>15.79</v>
      </c>
      <c r="F44" s="4">
        <v>3500</v>
      </c>
      <c r="G44" s="4">
        <v>0</v>
      </c>
      <c r="H44" s="4">
        <v>3500</v>
      </c>
      <c r="I44" s="5">
        <f>+VLOOKUP($C44,Hoja2!$A$2:$B$7,2,0)</f>
        <v>221.59520000000001</v>
      </c>
      <c r="J44" s="4">
        <v>6</v>
      </c>
      <c r="K44" s="2">
        <f t="shared" si="0"/>
        <v>215.59520000000001</v>
      </c>
      <c r="L44" s="2">
        <f t="shared" si="1"/>
        <v>3404.248208</v>
      </c>
    </row>
    <row r="45" spans="1:12" ht="28.8" hidden="1" x14ac:dyDescent="0.3">
      <c r="A45" s="11" t="s">
        <v>136</v>
      </c>
      <c r="B45" s="1" t="s">
        <v>15</v>
      </c>
      <c r="C45" s="1" t="s">
        <v>9</v>
      </c>
      <c r="D45" s="3" t="s">
        <v>16</v>
      </c>
      <c r="E45" s="1">
        <v>20.309999999999999</v>
      </c>
      <c r="F45" s="4">
        <v>4500</v>
      </c>
      <c r="G45" s="4">
        <v>0</v>
      </c>
      <c r="H45" s="4">
        <v>4500</v>
      </c>
      <c r="I45" s="5">
        <f>+VLOOKUP($C45,Hoja2!$A$2:$B$7,2,0)</f>
        <v>221.59520000000001</v>
      </c>
      <c r="J45" s="4">
        <v>6</v>
      </c>
      <c r="K45" s="2">
        <f t="shared" si="0"/>
        <v>215.59520000000001</v>
      </c>
      <c r="L45" s="2">
        <f t="shared" si="1"/>
        <v>4378.7385119999999</v>
      </c>
    </row>
    <row r="46" spans="1:12" ht="28.8" hidden="1" x14ac:dyDescent="0.3">
      <c r="A46" s="11" t="s">
        <v>129</v>
      </c>
      <c r="B46" s="1" t="s">
        <v>15</v>
      </c>
      <c r="C46" s="1" t="s">
        <v>9</v>
      </c>
      <c r="D46" s="3" t="s">
        <v>16</v>
      </c>
      <c r="E46" s="1">
        <v>20.309999999999999</v>
      </c>
      <c r="F46" s="4">
        <v>4500</v>
      </c>
      <c r="G46" s="4">
        <v>0</v>
      </c>
      <c r="H46" s="4">
        <v>4500</v>
      </c>
      <c r="I46" s="5">
        <f>+VLOOKUP($C46,Hoja2!$A$2:$B$7,2,0)</f>
        <v>221.59520000000001</v>
      </c>
      <c r="J46" s="4">
        <v>6</v>
      </c>
      <c r="K46" s="2">
        <f t="shared" si="0"/>
        <v>215.59520000000001</v>
      </c>
      <c r="L46" s="2">
        <f t="shared" si="1"/>
        <v>4378.7385119999999</v>
      </c>
    </row>
    <row r="47" spans="1:12" ht="28.8" hidden="1" x14ac:dyDescent="0.3">
      <c r="A47" s="11" t="s">
        <v>128</v>
      </c>
      <c r="B47" s="1" t="s">
        <v>15</v>
      </c>
      <c r="C47" s="1" t="s">
        <v>9</v>
      </c>
      <c r="D47" s="3" t="s">
        <v>16</v>
      </c>
      <c r="E47" s="1">
        <v>4.51</v>
      </c>
      <c r="F47" s="4">
        <v>1000</v>
      </c>
      <c r="G47" s="4">
        <v>0</v>
      </c>
      <c r="H47" s="4">
        <v>1000</v>
      </c>
      <c r="I47" s="5">
        <f>+VLOOKUP($C47,Hoja2!$A$2:$B$7,2,0)</f>
        <v>221.59520000000001</v>
      </c>
      <c r="J47" s="4">
        <v>6</v>
      </c>
      <c r="K47" s="2">
        <f t="shared" si="0"/>
        <v>215.59520000000001</v>
      </c>
      <c r="L47" s="2">
        <f t="shared" si="1"/>
        <v>972.33435199999997</v>
      </c>
    </row>
    <row r="48" spans="1:12" ht="28.8" hidden="1" x14ac:dyDescent="0.3">
      <c r="A48" s="11" t="s">
        <v>128</v>
      </c>
      <c r="B48" s="1" t="s">
        <v>15</v>
      </c>
      <c r="C48" s="1" t="s">
        <v>9</v>
      </c>
      <c r="D48" s="3" t="s">
        <v>16</v>
      </c>
      <c r="E48" s="1">
        <v>15.79</v>
      </c>
      <c r="F48" s="4">
        <v>3500</v>
      </c>
      <c r="G48" s="4">
        <v>0</v>
      </c>
      <c r="H48" s="4">
        <v>3500</v>
      </c>
      <c r="I48" s="5">
        <f>+VLOOKUP($C48,Hoja2!$A$2:$B$7,2,0)</f>
        <v>221.59520000000001</v>
      </c>
      <c r="J48" s="4">
        <v>6</v>
      </c>
      <c r="K48" s="2">
        <f t="shared" si="0"/>
        <v>215.59520000000001</v>
      </c>
      <c r="L48" s="2">
        <f t="shared" si="1"/>
        <v>3404.248208</v>
      </c>
    </row>
    <row r="49" spans="1:12" ht="28.8" hidden="1" x14ac:dyDescent="0.3">
      <c r="A49" s="11" t="s">
        <v>137</v>
      </c>
      <c r="B49" s="1" t="s">
        <v>15</v>
      </c>
      <c r="C49" s="1" t="s">
        <v>9</v>
      </c>
      <c r="D49" s="3" t="s">
        <v>16</v>
      </c>
      <c r="E49" s="1">
        <v>11.28</v>
      </c>
      <c r="F49" s="4">
        <v>2500</v>
      </c>
      <c r="G49" s="4">
        <v>0</v>
      </c>
      <c r="H49" s="4">
        <v>2500</v>
      </c>
      <c r="I49" s="5">
        <f>+VLOOKUP($C49,Hoja2!$A$2:$B$7,2,0)</f>
        <v>221.59520000000001</v>
      </c>
      <c r="J49" s="4">
        <v>6</v>
      </c>
      <c r="K49" s="2">
        <f t="shared" si="0"/>
        <v>215.59520000000001</v>
      </c>
      <c r="L49" s="2">
        <f t="shared" si="1"/>
        <v>2431.9138560000001</v>
      </c>
    </row>
    <row r="50" spans="1:12" ht="28.8" hidden="1" x14ac:dyDescent="0.3">
      <c r="A50" s="11">
        <v>45363</v>
      </c>
      <c r="B50" s="1" t="s">
        <v>19</v>
      </c>
      <c r="C50" s="1" t="s">
        <v>13</v>
      </c>
      <c r="D50" s="3" t="s">
        <v>20</v>
      </c>
      <c r="E50" s="1">
        <v>25.52</v>
      </c>
      <c r="F50" s="4">
        <v>7403</v>
      </c>
      <c r="G50" s="4">
        <v>0</v>
      </c>
      <c r="H50" s="4">
        <v>7403</v>
      </c>
      <c r="I50" s="5">
        <f>+VLOOKUP($C50,Hoja2!$A$2:$B$7,2,0)</f>
        <v>290.10039999999998</v>
      </c>
      <c r="J50" s="4">
        <v>6</v>
      </c>
      <c r="K50" s="2">
        <f t="shared" si="0"/>
        <v>284.10039999999998</v>
      </c>
      <c r="L50" s="2">
        <f t="shared" si="1"/>
        <v>7250.2422079999997</v>
      </c>
    </row>
    <row r="51" spans="1:12" ht="28.8" hidden="1" x14ac:dyDescent="0.3">
      <c r="A51" s="11">
        <v>45394</v>
      </c>
      <c r="B51" s="1" t="s">
        <v>19</v>
      </c>
      <c r="C51" s="1" t="s">
        <v>13</v>
      </c>
      <c r="D51" s="3" t="s">
        <v>20</v>
      </c>
      <c r="E51" s="1">
        <v>34.47</v>
      </c>
      <c r="F51" s="4">
        <v>9999</v>
      </c>
      <c r="G51" s="4">
        <v>0</v>
      </c>
      <c r="H51" s="4">
        <v>9999</v>
      </c>
      <c r="I51" s="5">
        <f>+VLOOKUP($C51,Hoja2!$A$2:$B$7,2,0)</f>
        <v>290.10039999999998</v>
      </c>
      <c r="J51" s="4">
        <v>6</v>
      </c>
      <c r="K51" s="2">
        <f t="shared" si="0"/>
        <v>284.10039999999998</v>
      </c>
      <c r="L51" s="2">
        <f t="shared" si="1"/>
        <v>9792.9407879999981</v>
      </c>
    </row>
    <row r="52" spans="1:12" ht="28.8" hidden="1" x14ac:dyDescent="0.3">
      <c r="A52" s="11">
        <v>45394</v>
      </c>
      <c r="B52" s="1" t="s">
        <v>19</v>
      </c>
      <c r="C52" s="1" t="s">
        <v>13</v>
      </c>
      <c r="D52" s="3" t="s">
        <v>20</v>
      </c>
      <c r="E52" s="1">
        <v>34.47</v>
      </c>
      <c r="F52" s="4">
        <v>9999</v>
      </c>
      <c r="G52" s="4">
        <v>0</v>
      </c>
      <c r="H52" s="4">
        <v>9999</v>
      </c>
      <c r="I52" s="5">
        <f>+VLOOKUP($C52,Hoja2!$A$2:$B$7,2,0)</f>
        <v>290.10039999999998</v>
      </c>
      <c r="J52" s="4">
        <v>6</v>
      </c>
      <c r="K52" s="2">
        <f t="shared" si="0"/>
        <v>284.10039999999998</v>
      </c>
      <c r="L52" s="2">
        <f t="shared" si="1"/>
        <v>9792.9407879999981</v>
      </c>
    </row>
    <row r="53" spans="1:12" ht="28.8" hidden="1" x14ac:dyDescent="0.3">
      <c r="A53" s="11">
        <v>45394</v>
      </c>
      <c r="B53" s="1" t="s">
        <v>19</v>
      </c>
      <c r="C53" s="1" t="s">
        <v>13</v>
      </c>
      <c r="D53" s="3" t="s">
        <v>20</v>
      </c>
      <c r="E53" s="1">
        <v>34.47</v>
      </c>
      <c r="F53" s="4">
        <v>9999</v>
      </c>
      <c r="G53" s="4">
        <v>0</v>
      </c>
      <c r="H53" s="4">
        <v>9999</v>
      </c>
      <c r="I53" s="5">
        <f>+VLOOKUP($C53,Hoja2!$A$2:$B$7,2,0)</f>
        <v>290.10039999999998</v>
      </c>
      <c r="J53" s="4">
        <v>6</v>
      </c>
      <c r="K53" s="2">
        <f t="shared" si="0"/>
        <v>284.10039999999998</v>
      </c>
      <c r="L53" s="2">
        <f t="shared" si="1"/>
        <v>9792.9407879999981</v>
      </c>
    </row>
    <row r="54" spans="1:12" ht="28.8" hidden="1" x14ac:dyDescent="0.3">
      <c r="A54" s="11" t="s">
        <v>129</v>
      </c>
      <c r="B54" s="1" t="s">
        <v>19</v>
      </c>
      <c r="C54" s="1" t="s">
        <v>13</v>
      </c>
      <c r="D54" s="3" t="s">
        <v>20</v>
      </c>
      <c r="E54" s="1">
        <v>26.06</v>
      </c>
      <c r="F54" s="4">
        <v>7560</v>
      </c>
      <c r="G54" s="4">
        <v>0</v>
      </c>
      <c r="H54" s="4">
        <v>7560</v>
      </c>
      <c r="I54" s="5">
        <f>+VLOOKUP($C54,Hoja2!$A$2:$B$7,2,0)</f>
        <v>290.10039999999998</v>
      </c>
      <c r="J54" s="4">
        <v>6</v>
      </c>
      <c r="K54" s="2">
        <f t="shared" si="0"/>
        <v>284.10039999999998</v>
      </c>
      <c r="L54" s="2">
        <f t="shared" si="1"/>
        <v>7403.6564239999989</v>
      </c>
    </row>
    <row r="55" spans="1:12" ht="28.8" hidden="1" x14ac:dyDescent="0.3">
      <c r="A55" s="11" t="s">
        <v>137</v>
      </c>
      <c r="B55" s="1" t="s">
        <v>19</v>
      </c>
      <c r="C55" s="1" t="s">
        <v>13</v>
      </c>
      <c r="D55" s="3" t="s">
        <v>20</v>
      </c>
      <c r="E55" s="1">
        <v>34.47</v>
      </c>
      <c r="F55" s="4">
        <v>9999</v>
      </c>
      <c r="G55" s="4">
        <v>0</v>
      </c>
      <c r="H55" s="4">
        <v>9999</v>
      </c>
      <c r="I55" s="5">
        <f>+VLOOKUP($C55,Hoja2!$A$2:$B$7,2,0)</f>
        <v>290.10039999999998</v>
      </c>
      <c r="J55" s="4">
        <v>6</v>
      </c>
      <c r="K55" s="2">
        <f t="shared" si="0"/>
        <v>284.10039999999998</v>
      </c>
      <c r="L55" s="2">
        <f t="shared" si="1"/>
        <v>9792.9407879999981</v>
      </c>
    </row>
    <row r="56" spans="1:12" ht="28.8" hidden="1" x14ac:dyDescent="0.3">
      <c r="A56" s="11" t="s">
        <v>131</v>
      </c>
      <c r="B56" s="1" t="s">
        <v>19</v>
      </c>
      <c r="C56" s="1" t="s">
        <v>13</v>
      </c>
      <c r="D56" s="3" t="s">
        <v>20</v>
      </c>
      <c r="E56" s="1">
        <v>34.47</v>
      </c>
      <c r="F56" s="4">
        <v>10000</v>
      </c>
      <c r="G56" s="4">
        <v>0</v>
      </c>
      <c r="H56" s="4">
        <v>10000</v>
      </c>
      <c r="I56" s="5">
        <f>+VLOOKUP($C56,Hoja2!$A$2:$B$7,2,0)</f>
        <v>290.10039999999998</v>
      </c>
      <c r="J56" s="4">
        <v>6</v>
      </c>
      <c r="K56" s="2">
        <f t="shared" si="0"/>
        <v>284.10039999999998</v>
      </c>
      <c r="L56" s="2">
        <f t="shared" si="1"/>
        <v>9792.9407879999981</v>
      </c>
    </row>
    <row r="57" spans="1:12" ht="28.8" hidden="1" x14ac:dyDescent="0.3">
      <c r="A57" s="11" t="s">
        <v>131</v>
      </c>
      <c r="B57" s="1" t="s">
        <v>19</v>
      </c>
      <c r="C57" s="1" t="s">
        <v>13</v>
      </c>
      <c r="D57" s="3" t="s">
        <v>20</v>
      </c>
      <c r="E57" s="1">
        <v>34.47</v>
      </c>
      <c r="F57" s="4">
        <v>9999</v>
      </c>
      <c r="G57" s="4">
        <v>0</v>
      </c>
      <c r="H57" s="4">
        <v>9999</v>
      </c>
      <c r="I57" s="5">
        <f>+VLOOKUP($C57,Hoja2!$A$2:$B$7,2,0)</f>
        <v>290.10039999999998</v>
      </c>
      <c r="J57" s="4">
        <v>6</v>
      </c>
      <c r="K57" s="2">
        <f t="shared" si="0"/>
        <v>284.10039999999998</v>
      </c>
      <c r="L57" s="2">
        <f t="shared" si="1"/>
        <v>9792.9407879999981</v>
      </c>
    </row>
    <row r="58" spans="1:12" ht="28.8" hidden="1" x14ac:dyDescent="0.3">
      <c r="A58" s="11" t="s">
        <v>131</v>
      </c>
      <c r="B58" s="1" t="s">
        <v>19</v>
      </c>
      <c r="C58" s="1" t="s">
        <v>21</v>
      </c>
      <c r="D58" s="3" t="s">
        <v>20</v>
      </c>
      <c r="E58" s="1">
        <v>36.700000000000003</v>
      </c>
      <c r="F58" s="4">
        <v>10000</v>
      </c>
      <c r="G58" s="4">
        <v>0</v>
      </c>
      <c r="H58" s="4">
        <v>10000</v>
      </c>
      <c r="I58" s="5">
        <f>+VLOOKUP($C58,Hoja2!$A$2:$B$7,2,0)</f>
        <v>272.50659999999999</v>
      </c>
      <c r="J58" s="4">
        <v>6</v>
      </c>
      <c r="K58" s="2">
        <f t="shared" si="0"/>
        <v>266.50659999999999</v>
      </c>
      <c r="L58" s="2">
        <f t="shared" si="1"/>
        <v>9780.7922200000012</v>
      </c>
    </row>
    <row r="59" spans="1:12" ht="28.8" hidden="1" x14ac:dyDescent="0.3">
      <c r="A59" s="11" t="s">
        <v>131</v>
      </c>
      <c r="B59" s="1" t="s">
        <v>19</v>
      </c>
      <c r="C59" s="1" t="s">
        <v>13</v>
      </c>
      <c r="D59" s="3" t="s">
        <v>20</v>
      </c>
      <c r="E59" s="1">
        <v>34.47</v>
      </c>
      <c r="F59" s="4">
        <v>10000</v>
      </c>
      <c r="G59" s="4">
        <v>0</v>
      </c>
      <c r="H59" s="4">
        <v>10000</v>
      </c>
      <c r="I59" s="5">
        <f>+VLOOKUP($C59,Hoja2!$A$2:$B$7,2,0)</f>
        <v>290.10039999999998</v>
      </c>
      <c r="J59" s="4">
        <v>6</v>
      </c>
      <c r="K59" s="2">
        <f t="shared" si="0"/>
        <v>284.10039999999998</v>
      </c>
      <c r="L59" s="2">
        <f t="shared" si="1"/>
        <v>9792.9407879999981</v>
      </c>
    </row>
    <row r="60" spans="1:12" ht="28.8" hidden="1" x14ac:dyDescent="0.3">
      <c r="A60" s="11" t="s">
        <v>131</v>
      </c>
      <c r="B60" s="1" t="s">
        <v>19</v>
      </c>
      <c r="C60" s="1" t="s">
        <v>9</v>
      </c>
      <c r="D60" s="3" t="s">
        <v>20</v>
      </c>
      <c r="E60" s="1">
        <v>45.13</v>
      </c>
      <c r="F60" s="4">
        <v>10000</v>
      </c>
      <c r="G60" s="4">
        <v>0</v>
      </c>
      <c r="H60" s="4">
        <v>10000</v>
      </c>
      <c r="I60" s="5">
        <f>+VLOOKUP($C60,Hoja2!$A$2:$B$7,2,0)</f>
        <v>221.59520000000001</v>
      </c>
      <c r="J60" s="4">
        <v>6</v>
      </c>
      <c r="K60" s="2">
        <f t="shared" si="0"/>
        <v>215.59520000000001</v>
      </c>
      <c r="L60" s="2">
        <f t="shared" si="1"/>
        <v>9729.8113760000015</v>
      </c>
    </row>
    <row r="61" spans="1:12" ht="28.8" hidden="1" x14ac:dyDescent="0.3">
      <c r="A61" s="11" t="s">
        <v>131</v>
      </c>
      <c r="B61" s="1" t="s">
        <v>19</v>
      </c>
      <c r="C61" s="1" t="s">
        <v>13</v>
      </c>
      <c r="D61" s="3" t="s">
        <v>20</v>
      </c>
      <c r="E61" s="1">
        <v>6.89</v>
      </c>
      <c r="F61" s="4">
        <v>2000</v>
      </c>
      <c r="G61" s="4">
        <v>0</v>
      </c>
      <c r="H61" s="4">
        <v>2000</v>
      </c>
      <c r="I61" s="5">
        <f>+VLOOKUP($C61,Hoja2!$A$2:$B$7,2,0)</f>
        <v>290.10039999999998</v>
      </c>
      <c r="J61" s="4">
        <v>6</v>
      </c>
      <c r="K61" s="2">
        <f t="shared" si="0"/>
        <v>284.10039999999998</v>
      </c>
      <c r="L61" s="2">
        <f t="shared" si="1"/>
        <v>1957.4517559999997</v>
      </c>
    </row>
    <row r="62" spans="1:12" ht="28.8" hidden="1" x14ac:dyDescent="0.3">
      <c r="A62" s="11" t="s">
        <v>134</v>
      </c>
      <c r="B62" s="1" t="s">
        <v>22</v>
      </c>
      <c r="C62" s="1" t="s">
        <v>13</v>
      </c>
      <c r="D62" s="3" t="s">
        <v>23</v>
      </c>
      <c r="E62" s="1">
        <v>14.72</v>
      </c>
      <c r="F62" s="4">
        <v>4271.7</v>
      </c>
      <c r="G62" s="4">
        <v>0</v>
      </c>
      <c r="H62" s="4">
        <v>4271.7</v>
      </c>
      <c r="I62" s="5">
        <f>+VLOOKUP($C62,Hoja2!$A$2:$B$7,2,0)</f>
        <v>290.10039999999998</v>
      </c>
      <c r="J62" s="4">
        <v>6</v>
      </c>
      <c r="K62" s="2">
        <f t="shared" si="0"/>
        <v>284.10039999999998</v>
      </c>
      <c r="L62" s="2">
        <f t="shared" si="1"/>
        <v>4181.9578879999999</v>
      </c>
    </row>
    <row r="63" spans="1:12" ht="28.8" hidden="1" x14ac:dyDescent="0.3">
      <c r="A63" s="11">
        <v>45363</v>
      </c>
      <c r="B63" s="1" t="s">
        <v>24</v>
      </c>
      <c r="C63" s="1" t="s">
        <v>13</v>
      </c>
      <c r="D63" s="3" t="s">
        <v>25</v>
      </c>
      <c r="E63" s="1">
        <v>13.51</v>
      </c>
      <c r="F63" s="4">
        <v>3918.4</v>
      </c>
      <c r="G63" s="4">
        <v>0</v>
      </c>
      <c r="H63" s="4">
        <v>3918.4</v>
      </c>
      <c r="I63" s="5">
        <f>+VLOOKUP($C63,Hoja2!$A$2:$B$7,2,0)</f>
        <v>290.10039999999998</v>
      </c>
      <c r="J63" s="4">
        <v>6</v>
      </c>
      <c r="K63" s="2">
        <f t="shared" si="0"/>
        <v>284.10039999999998</v>
      </c>
      <c r="L63" s="2">
        <f t="shared" si="1"/>
        <v>3838.1964039999998</v>
      </c>
    </row>
    <row r="64" spans="1:12" ht="28.8" hidden="1" x14ac:dyDescent="0.3">
      <c r="A64" s="11">
        <v>45516</v>
      </c>
      <c r="B64" s="1" t="s">
        <v>24</v>
      </c>
      <c r="C64" s="1" t="s">
        <v>13</v>
      </c>
      <c r="D64" s="3" t="s">
        <v>25</v>
      </c>
      <c r="E64" s="1">
        <v>11.22</v>
      </c>
      <c r="F64" s="4">
        <v>3255.2</v>
      </c>
      <c r="G64" s="4">
        <v>0</v>
      </c>
      <c r="H64" s="4">
        <v>3255.2</v>
      </c>
      <c r="I64" s="5">
        <f>+VLOOKUP($C64,Hoja2!$A$2:$B$7,2,0)</f>
        <v>290.10039999999998</v>
      </c>
      <c r="J64" s="4">
        <v>6</v>
      </c>
      <c r="K64" s="2">
        <f t="shared" si="0"/>
        <v>284.10039999999998</v>
      </c>
      <c r="L64" s="2">
        <f t="shared" si="1"/>
        <v>3187.6064879999999</v>
      </c>
    </row>
    <row r="65" spans="1:12" ht="28.8" hidden="1" x14ac:dyDescent="0.3">
      <c r="A65" s="11">
        <v>45638</v>
      </c>
      <c r="B65" s="1" t="s">
        <v>24</v>
      </c>
      <c r="C65" s="1" t="s">
        <v>13</v>
      </c>
      <c r="D65" s="3" t="s">
        <v>25</v>
      </c>
      <c r="E65" s="1">
        <v>3.07</v>
      </c>
      <c r="F65" s="4">
        <v>890</v>
      </c>
      <c r="G65" s="4">
        <v>0</v>
      </c>
      <c r="H65" s="4">
        <v>890</v>
      </c>
      <c r="I65" s="5">
        <f>+VLOOKUP($C65,Hoja2!$A$2:$B$7,2,0)</f>
        <v>290.10039999999998</v>
      </c>
      <c r="J65" s="4">
        <v>6</v>
      </c>
      <c r="K65" s="2">
        <f t="shared" si="0"/>
        <v>284.10039999999998</v>
      </c>
      <c r="L65" s="2">
        <f t="shared" si="1"/>
        <v>872.18822799999987</v>
      </c>
    </row>
    <row r="66" spans="1:12" ht="28.8" hidden="1" x14ac:dyDescent="0.3">
      <c r="A66" s="11">
        <v>45424</v>
      </c>
      <c r="B66" s="1" t="s">
        <v>26</v>
      </c>
      <c r="C66" s="1" t="s">
        <v>9</v>
      </c>
      <c r="D66" s="3" t="s">
        <v>27</v>
      </c>
      <c r="E66" s="1">
        <v>51.01</v>
      </c>
      <c r="F66" s="4">
        <v>11303</v>
      </c>
      <c r="G66" s="4">
        <v>0</v>
      </c>
      <c r="H66" s="4">
        <v>11303</v>
      </c>
      <c r="I66" s="5">
        <f>+VLOOKUP($C66,Hoja2!$A$2:$B$7,2,0)</f>
        <v>221.59520000000001</v>
      </c>
      <c r="J66" s="4">
        <v>6</v>
      </c>
      <c r="K66" s="2">
        <f t="shared" si="0"/>
        <v>215.59520000000001</v>
      </c>
      <c r="L66" s="2">
        <f t="shared" si="1"/>
        <v>10997.511151999999</v>
      </c>
    </row>
    <row r="67" spans="1:12" ht="28.8" hidden="1" x14ac:dyDescent="0.3">
      <c r="A67" s="11">
        <v>45455</v>
      </c>
      <c r="B67" s="1" t="s">
        <v>28</v>
      </c>
      <c r="C67" s="1" t="s">
        <v>13</v>
      </c>
      <c r="D67" s="3" t="s">
        <v>29</v>
      </c>
      <c r="E67" s="1">
        <v>3.45</v>
      </c>
      <c r="F67" s="4">
        <v>1000</v>
      </c>
      <c r="G67" s="4">
        <v>0</v>
      </c>
      <c r="H67" s="4">
        <v>1000</v>
      </c>
      <c r="I67" s="5">
        <f>+VLOOKUP($C67,Hoja2!$A$2:$B$7,2,0)</f>
        <v>290.10039999999998</v>
      </c>
      <c r="J67" s="4">
        <v>6</v>
      </c>
      <c r="K67" s="2">
        <f t="shared" ref="K67:K130" si="2">+I67-J67</f>
        <v>284.10039999999998</v>
      </c>
      <c r="L67" s="2">
        <f t="shared" ref="L67:L130" si="3">+K67*E67</f>
        <v>980.14638000000002</v>
      </c>
    </row>
    <row r="68" spans="1:12" ht="28.8" hidden="1" x14ac:dyDescent="0.3">
      <c r="A68" s="11">
        <v>45363</v>
      </c>
      <c r="B68" s="1" t="s">
        <v>28</v>
      </c>
      <c r="C68" s="1" t="s">
        <v>13</v>
      </c>
      <c r="D68" s="3" t="s">
        <v>29</v>
      </c>
      <c r="E68" s="1">
        <v>8.2200000000000006</v>
      </c>
      <c r="F68" s="4">
        <v>2385</v>
      </c>
      <c r="G68" s="4">
        <v>0</v>
      </c>
      <c r="H68" s="4">
        <v>2385</v>
      </c>
      <c r="I68" s="5">
        <f>+VLOOKUP($C68,Hoja2!$A$2:$B$7,2,0)</f>
        <v>290.10039999999998</v>
      </c>
      <c r="J68" s="4">
        <v>6</v>
      </c>
      <c r="K68" s="2">
        <f t="shared" si="2"/>
        <v>284.10039999999998</v>
      </c>
      <c r="L68" s="2">
        <f t="shared" si="3"/>
        <v>2335.305288</v>
      </c>
    </row>
    <row r="69" spans="1:12" ht="28.8" hidden="1" x14ac:dyDescent="0.3">
      <c r="A69" s="11">
        <v>45577</v>
      </c>
      <c r="B69" s="1" t="s">
        <v>28</v>
      </c>
      <c r="C69" s="1" t="s">
        <v>13</v>
      </c>
      <c r="D69" s="3" t="s">
        <v>29</v>
      </c>
      <c r="E69" s="1">
        <v>8.69</v>
      </c>
      <c r="F69" s="4">
        <v>2520</v>
      </c>
      <c r="G69" s="4">
        <v>0</v>
      </c>
      <c r="H69" s="4">
        <v>2520</v>
      </c>
      <c r="I69" s="5">
        <f>+VLOOKUP($C69,Hoja2!$A$2:$B$7,2,0)</f>
        <v>290.10039999999998</v>
      </c>
      <c r="J69" s="4">
        <v>6</v>
      </c>
      <c r="K69" s="2">
        <f t="shared" si="2"/>
        <v>284.10039999999998</v>
      </c>
      <c r="L69" s="2">
        <f t="shared" si="3"/>
        <v>2468.8324759999996</v>
      </c>
    </row>
    <row r="70" spans="1:12" ht="28.8" hidden="1" x14ac:dyDescent="0.3">
      <c r="A70" s="11">
        <v>45394</v>
      </c>
      <c r="B70" s="1" t="s">
        <v>30</v>
      </c>
      <c r="C70" s="1" t="s">
        <v>9</v>
      </c>
      <c r="D70" s="3" t="s">
        <v>31</v>
      </c>
      <c r="E70" s="1">
        <v>42.87</v>
      </c>
      <c r="F70" s="4">
        <v>9500</v>
      </c>
      <c r="G70" s="4">
        <v>0</v>
      </c>
      <c r="H70" s="4">
        <v>9500</v>
      </c>
      <c r="I70" s="5">
        <f>+VLOOKUP($C70,Hoja2!$A$2:$B$7,2,0)</f>
        <v>221.59520000000001</v>
      </c>
      <c r="J70" s="4">
        <v>6</v>
      </c>
      <c r="K70" s="2">
        <f t="shared" si="2"/>
        <v>215.59520000000001</v>
      </c>
      <c r="L70" s="2">
        <f t="shared" si="3"/>
        <v>9242.5662240000001</v>
      </c>
    </row>
    <row r="71" spans="1:12" ht="28.8" hidden="1" x14ac:dyDescent="0.3">
      <c r="A71" s="11">
        <v>45608</v>
      </c>
      <c r="B71" s="1" t="s">
        <v>30</v>
      </c>
      <c r="C71" s="1" t="s">
        <v>9</v>
      </c>
      <c r="D71" s="3" t="s">
        <v>31</v>
      </c>
      <c r="E71" s="1">
        <v>24.82</v>
      </c>
      <c r="F71" s="4">
        <v>5500</v>
      </c>
      <c r="G71" s="4">
        <v>0</v>
      </c>
      <c r="H71" s="4">
        <v>5500</v>
      </c>
      <c r="I71" s="5">
        <f>+VLOOKUP($C71,Hoja2!$A$2:$B$7,2,0)</f>
        <v>221.59520000000001</v>
      </c>
      <c r="J71" s="4">
        <v>6</v>
      </c>
      <c r="K71" s="2">
        <f t="shared" si="2"/>
        <v>215.59520000000001</v>
      </c>
      <c r="L71" s="2">
        <f t="shared" si="3"/>
        <v>5351.0728639999998</v>
      </c>
    </row>
    <row r="72" spans="1:12" hidden="1" x14ac:dyDescent="0.3">
      <c r="A72" s="11">
        <v>45455</v>
      </c>
      <c r="B72" s="1" t="s">
        <v>32</v>
      </c>
      <c r="C72" s="1" t="s">
        <v>11</v>
      </c>
      <c r="D72" s="3" t="s">
        <v>33</v>
      </c>
      <c r="E72" s="1">
        <v>19.510000000000002</v>
      </c>
      <c r="F72" s="4">
        <v>4666</v>
      </c>
      <c r="G72" s="4">
        <v>0</v>
      </c>
      <c r="H72" s="4">
        <v>4666</v>
      </c>
      <c r="I72" s="5">
        <f>+VLOOKUP($C72,Hoja2!$A$2:$B$7,2,0)</f>
        <v>239.10159999999999</v>
      </c>
      <c r="J72" s="4">
        <v>6</v>
      </c>
      <c r="K72" s="2">
        <f t="shared" si="2"/>
        <v>233.10159999999999</v>
      </c>
      <c r="L72" s="2">
        <f t="shared" si="3"/>
        <v>4547.8122160000003</v>
      </c>
    </row>
    <row r="73" spans="1:12" hidden="1" x14ac:dyDescent="0.3">
      <c r="A73" s="11" t="s">
        <v>131</v>
      </c>
      <c r="B73" s="1" t="s">
        <v>32</v>
      </c>
      <c r="C73" s="1" t="s">
        <v>11</v>
      </c>
      <c r="D73" s="3" t="s">
        <v>33</v>
      </c>
      <c r="E73" s="1">
        <v>20.079999999999998</v>
      </c>
      <c r="F73" s="4">
        <v>4800</v>
      </c>
      <c r="G73" s="4">
        <v>0</v>
      </c>
      <c r="H73" s="4">
        <v>4800</v>
      </c>
      <c r="I73" s="5">
        <f>+VLOOKUP($C73,Hoja2!$A$2:$B$7,2,0)</f>
        <v>239.10159999999999</v>
      </c>
      <c r="J73" s="4">
        <v>6</v>
      </c>
      <c r="K73" s="2">
        <f t="shared" si="2"/>
        <v>233.10159999999999</v>
      </c>
      <c r="L73" s="2">
        <f t="shared" si="3"/>
        <v>4680.6801279999991</v>
      </c>
    </row>
    <row r="74" spans="1:12" hidden="1" x14ac:dyDescent="0.3">
      <c r="A74" s="11" t="s">
        <v>138</v>
      </c>
      <c r="B74" s="1" t="s">
        <v>32</v>
      </c>
      <c r="C74" s="1" t="s">
        <v>11</v>
      </c>
      <c r="D74" s="3" t="s">
        <v>33</v>
      </c>
      <c r="E74" s="1">
        <v>16.46</v>
      </c>
      <c r="F74" s="4">
        <v>3935</v>
      </c>
      <c r="G74" s="4">
        <v>0</v>
      </c>
      <c r="H74" s="4">
        <v>3935</v>
      </c>
      <c r="I74" s="5">
        <f>+VLOOKUP($C74,Hoja2!$A$2:$B$7,2,0)</f>
        <v>239.10159999999999</v>
      </c>
      <c r="J74" s="4">
        <v>6</v>
      </c>
      <c r="K74" s="2">
        <f t="shared" si="2"/>
        <v>233.10159999999999</v>
      </c>
      <c r="L74" s="2">
        <f t="shared" si="3"/>
        <v>3836.8523359999999</v>
      </c>
    </row>
    <row r="75" spans="1:12" hidden="1" x14ac:dyDescent="0.3">
      <c r="A75" s="11" t="s">
        <v>136</v>
      </c>
      <c r="B75" s="1" t="s">
        <v>32</v>
      </c>
      <c r="C75" s="1" t="s">
        <v>11</v>
      </c>
      <c r="D75" s="3" t="s">
        <v>33</v>
      </c>
      <c r="E75" s="1">
        <v>7.11</v>
      </c>
      <c r="F75" s="4">
        <v>1700</v>
      </c>
      <c r="G75" s="4">
        <v>0</v>
      </c>
      <c r="H75" s="4">
        <v>1700</v>
      </c>
      <c r="I75" s="5">
        <f>+VLOOKUP($C75,Hoja2!$A$2:$B$7,2,0)</f>
        <v>239.10159999999999</v>
      </c>
      <c r="J75" s="4">
        <v>6</v>
      </c>
      <c r="K75" s="2">
        <f t="shared" si="2"/>
        <v>233.10159999999999</v>
      </c>
      <c r="L75" s="2">
        <f t="shared" si="3"/>
        <v>1657.352376</v>
      </c>
    </row>
    <row r="76" spans="1:12" hidden="1" x14ac:dyDescent="0.3">
      <c r="A76" s="11" t="s">
        <v>129</v>
      </c>
      <c r="B76" s="1" t="s">
        <v>32</v>
      </c>
      <c r="C76" s="1" t="s">
        <v>11</v>
      </c>
      <c r="D76" s="3" t="s">
        <v>33</v>
      </c>
      <c r="E76" s="1">
        <v>18.670000000000002</v>
      </c>
      <c r="F76" s="4">
        <v>4465</v>
      </c>
      <c r="G76" s="4">
        <v>0</v>
      </c>
      <c r="H76" s="4">
        <v>4465</v>
      </c>
      <c r="I76" s="5">
        <f>+VLOOKUP($C76,Hoja2!$A$2:$B$7,2,0)</f>
        <v>239.10159999999999</v>
      </c>
      <c r="J76" s="4">
        <v>6</v>
      </c>
      <c r="K76" s="2">
        <f t="shared" si="2"/>
        <v>233.10159999999999</v>
      </c>
      <c r="L76" s="2">
        <f t="shared" si="3"/>
        <v>4352.0068719999999</v>
      </c>
    </row>
    <row r="77" spans="1:12" ht="28.8" hidden="1" x14ac:dyDescent="0.3">
      <c r="A77" s="11" t="s">
        <v>139</v>
      </c>
      <c r="B77" s="1" t="s">
        <v>32</v>
      </c>
      <c r="C77" s="1" t="s">
        <v>13</v>
      </c>
      <c r="D77" s="3" t="s">
        <v>33</v>
      </c>
      <c r="E77" s="1">
        <v>2.82</v>
      </c>
      <c r="F77" s="4">
        <v>817</v>
      </c>
      <c r="G77" s="4">
        <v>0</v>
      </c>
      <c r="H77" s="4">
        <v>817</v>
      </c>
      <c r="I77" s="5">
        <f>+VLOOKUP($C77,Hoja2!$A$2:$B$7,2,0)</f>
        <v>290.10039999999998</v>
      </c>
      <c r="J77" s="4">
        <v>6</v>
      </c>
      <c r="K77" s="2">
        <f t="shared" si="2"/>
        <v>284.10039999999998</v>
      </c>
      <c r="L77" s="2">
        <f t="shared" si="3"/>
        <v>801.16312799999992</v>
      </c>
    </row>
    <row r="78" spans="1:12" ht="28.8" hidden="1" x14ac:dyDescent="0.3">
      <c r="A78" s="11">
        <v>45577</v>
      </c>
      <c r="B78" s="1" t="s">
        <v>34</v>
      </c>
      <c r="C78" s="1" t="s">
        <v>21</v>
      </c>
      <c r="D78" s="3" t="s">
        <v>35</v>
      </c>
      <c r="E78" s="1">
        <v>4.09</v>
      </c>
      <c r="F78" s="4">
        <v>1115</v>
      </c>
      <c r="G78" s="4">
        <v>0</v>
      </c>
      <c r="H78" s="4">
        <v>1115</v>
      </c>
      <c r="I78" s="5">
        <f>+VLOOKUP($C78,Hoja2!$A$2:$B$7,2,0)</f>
        <v>272.50659999999999</v>
      </c>
      <c r="J78" s="4">
        <v>6</v>
      </c>
      <c r="K78" s="2">
        <f t="shared" si="2"/>
        <v>266.50659999999999</v>
      </c>
      <c r="L78" s="2">
        <f t="shared" si="3"/>
        <v>1090.011994</v>
      </c>
    </row>
    <row r="79" spans="1:12" ht="28.8" hidden="1" x14ac:dyDescent="0.3">
      <c r="A79" s="11">
        <v>45363</v>
      </c>
      <c r="B79" s="1" t="s">
        <v>34</v>
      </c>
      <c r="C79" s="1" t="s">
        <v>21</v>
      </c>
      <c r="D79" s="3" t="s">
        <v>35</v>
      </c>
      <c r="E79" s="1">
        <v>10.63</v>
      </c>
      <c r="F79" s="4">
        <v>2897</v>
      </c>
      <c r="G79" s="4">
        <v>0</v>
      </c>
      <c r="H79" s="4">
        <v>2897</v>
      </c>
      <c r="I79" s="5">
        <f>+VLOOKUP($C79,Hoja2!$A$2:$B$7,2,0)</f>
        <v>272.50659999999999</v>
      </c>
      <c r="J79" s="4">
        <v>6</v>
      </c>
      <c r="K79" s="2">
        <f t="shared" si="2"/>
        <v>266.50659999999999</v>
      </c>
      <c r="L79" s="2">
        <f t="shared" si="3"/>
        <v>2832.965158</v>
      </c>
    </row>
    <row r="80" spans="1:12" ht="28.8" hidden="1" x14ac:dyDescent="0.3">
      <c r="A80" s="11">
        <v>45485</v>
      </c>
      <c r="B80" s="1" t="s">
        <v>34</v>
      </c>
      <c r="C80" s="1" t="s">
        <v>21</v>
      </c>
      <c r="D80" s="3" t="s">
        <v>35</v>
      </c>
      <c r="E80" s="1">
        <v>3.67</v>
      </c>
      <c r="F80" s="4">
        <v>1000</v>
      </c>
      <c r="G80" s="4">
        <v>0</v>
      </c>
      <c r="H80" s="4">
        <v>1000</v>
      </c>
      <c r="I80" s="5">
        <f>+VLOOKUP($C80,Hoja2!$A$2:$B$7,2,0)</f>
        <v>272.50659999999999</v>
      </c>
      <c r="J80" s="4">
        <v>6</v>
      </c>
      <c r="K80" s="2">
        <f t="shared" si="2"/>
        <v>266.50659999999999</v>
      </c>
      <c r="L80" s="2">
        <f t="shared" si="3"/>
        <v>978.07922199999996</v>
      </c>
    </row>
    <row r="81" spans="1:12" ht="28.8" hidden="1" x14ac:dyDescent="0.3">
      <c r="A81" s="11">
        <v>45394</v>
      </c>
      <c r="B81" s="1" t="s">
        <v>36</v>
      </c>
      <c r="C81" s="1" t="s">
        <v>13</v>
      </c>
      <c r="D81" s="3" t="s">
        <v>37</v>
      </c>
      <c r="E81" s="1">
        <v>6.89</v>
      </c>
      <c r="F81" s="4">
        <v>2000</v>
      </c>
      <c r="G81" s="4">
        <v>0</v>
      </c>
      <c r="H81" s="4">
        <v>2000</v>
      </c>
      <c r="I81" s="5">
        <f>+VLOOKUP($C81,Hoja2!$A$2:$B$7,2,0)</f>
        <v>290.10039999999998</v>
      </c>
      <c r="J81" s="4">
        <v>6</v>
      </c>
      <c r="K81" s="2">
        <f t="shared" si="2"/>
        <v>284.10039999999998</v>
      </c>
      <c r="L81" s="2">
        <f t="shared" si="3"/>
        <v>1957.4517559999997</v>
      </c>
    </row>
    <row r="82" spans="1:12" ht="28.8" hidden="1" x14ac:dyDescent="0.3">
      <c r="A82" s="11">
        <v>45577</v>
      </c>
      <c r="B82" s="1" t="s">
        <v>38</v>
      </c>
      <c r="C82" s="1" t="s">
        <v>11</v>
      </c>
      <c r="D82" s="3" t="s">
        <v>39</v>
      </c>
      <c r="E82" s="1">
        <v>13.12</v>
      </c>
      <c r="F82" s="4">
        <v>3138</v>
      </c>
      <c r="G82" s="4">
        <v>0</v>
      </c>
      <c r="H82" s="4">
        <v>3138</v>
      </c>
      <c r="I82" s="5">
        <f>+VLOOKUP($C82,Hoja2!$A$2:$B$7,2,0)</f>
        <v>239.10159999999999</v>
      </c>
      <c r="J82" s="4">
        <v>6</v>
      </c>
      <c r="K82" s="2">
        <f t="shared" si="2"/>
        <v>233.10159999999999</v>
      </c>
      <c r="L82" s="2">
        <f t="shared" si="3"/>
        <v>3058.2929919999997</v>
      </c>
    </row>
    <row r="83" spans="1:12" ht="28.8" hidden="1" x14ac:dyDescent="0.3">
      <c r="A83" s="11">
        <v>45363</v>
      </c>
      <c r="B83" s="1" t="s">
        <v>38</v>
      </c>
      <c r="C83" s="1" t="s">
        <v>11</v>
      </c>
      <c r="D83" s="3" t="s">
        <v>39</v>
      </c>
      <c r="E83" s="1">
        <v>2.89</v>
      </c>
      <c r="F83" s="4">
        <v>691</v>
      </c>
      <c r="G83" s="4">
        <v>0</v>
      </c>
      <c r="H83" s="4">
        <v>691</v>
      </c>
      <c r="I83" s="5">
        <f>+VLOOKUP($C83,Hoja2!$A$2:$B$7,2,0)</f>
        <v>239.10159999999999</v>
      </c>
      <c r="J83" s="4">
        <v>6</v>
      </c>
      <c r="K83" s="2">
        <f t="shared" si="2"/>
        <v>233.10159999999999</v>
      </c>
      <c r="L83" s="2">
        <f t="shared" si="3"/>
        <v>673.66362400000003</v>
      </c>
    </row>
    <row r="84" spans="1:12" ht="28.8" hidden="1" x14ac:dyDescent="0.3">
      <c r="A84" s="11" t="s">
        <v>131</v>
      </c>
      <c r="B84" s="1" t="s">
        <v>38</v>
      </c>
      <c r="C84" s="1" t="s">
        <v>11</v>
      </c>
      <c r="D84" s="3" t="s">
        <v>39</v>
      </c>
      <c r="E84" s="1">
        <v>4.18</v>
      </c>
      <c r="F84" s="4">
        <v>1000</v>
      </c>
      <c r="G84" s="4">
        <v>0</v>
      </c>
      <c r="H84" s="4">
        <v>1000</v>
      </c>
      <c r="I84" s="5">
        <f>+VLOOKUP($C84,Hoja2!$A$2:$B$7,2,0)</f>
        <v>239.10159999999999</v>
      </c>
      <c r="J84" s="4">
        <v>6</v>
      </c>
      <c r="K84" s="2">
        <f t="shared" si="2"/>
        <v>233.10159999999999</v>
      </c>
      <c r="L84" s="2">
        <f t="shared" si="3"/>
        <v>974.36468799999989</v>
      </c>
    </row>
    <row r="85" spans="1:12" ht="43.2" hidden="1" x14ac:dyDescent="0.3">
      <c r="A85" s="11" t="s">
        <v>137</v>
      </c>
      <c r="B85" s="1" t="s">
        <v>17</v>
      </c>
      <c r="C85" s="1" t="s">
        <v>9</v>
      </c>
      <c r="D85" s="3" t="s">
        <v>18</v>
      </c>
      <c r="E85" s="1">
        <v>9.0299999999999994</v>
      </c>
      <c r="F85" s="4">
        <v>2000</v>
      </c>
      <c r="G85" s="4">
        <v>0</v>
      </c>
      <c r="H85" s="4">
        <v>2000</v>
      </c>
      <c r="I85" s="5">
        <f>+VLOOKUP($C85,Hoja2!$A$2:$B$7,2,0)</f>
        <v>221.59520000000001</v>
      </c>
      <c r="J85" s="4">
        <v>6</v>
      </c>
      <c r="K85" s="2">
        <f t="shared" si="2"/>
        <v>215.59520000000001</v>
      </c>
      <c r="L85" s="2">
        <f t="shared" si="3"/>
        <v>1946.824656</v>
      </c>
    </row>
    <row r="86" spans="1:12" ht="43.2" hidden="1" x14ac:dyDescent="0.3">
      <c r="A86" s="11" t="s">
        <v>137</v>
      </c>
      <c r="B86" s="1" t="s">
        <v>17</v>
      </c>
      <c r="C86" s="1" t="s">
        <v>9</v>
      </c>
      <c r="D86" s="3" t="s">
        <v>18</v>
      </c>
      <c r="E86" s="1">
        <v>15.79</v>
      </c>
      <c r="F86" s="4">
        <v>3500</v>
      </c>
      <c r="G86" s="4">
        <v>0</v>
      </c>
      <c r="H86" s="4">
        <v>3500</v>
      </c>
      <c r="I86" s="5">
        <f>+VLOOKUP($C86,Hoja2!$A$2:$B$7,2,0)</f>
        <v>221.59520000000001</v>
      </c>
      <c r="J86" s="4">
        <v>6</v>
      </c>
      <c r="K86" s="2">
        <f t="shared" si="2"/>
        <v>215.59520000000001</v>
      </c>
      <c r="L86" s="2">
        <f t="shared" si="3"/>
        <v>3404.248208</v>
      </c>
    </row>
    <row r="87" spans="1:12" x14ac:dyDescent="0.3">
      <c r="A87" s="11">
        <v>45334</v>
      </c>
      <c r="B87" s="1" t="s">
        <v>40</v>
      </c>
      <c r="C87" s="1" t="s">
        <v>9</v>
      </c>
      <c r="D87" s="3" t="s">
        <v>41</v>
      </c>
      <c r="E87" s="1">
        <v>31.59</v>
      </c>
      <c r="F87" s="4">
        <v>7000</v>
      </c>
      <c r="G87" s="4">
        <v>0</v>
      </c>
      <c r="H87" s="4">
        <v>7000</v>
      </c>
      <c r="I87" s="5">
        <f>+VLOOKUP($C87,Hoja2!$A$2:$B$7,2,0)</f>
        <v>221.59520000000001</v>
      </c>
      <c r="J87" s="4">
        <v>6</v>
      </c>
      <c r="K87" s="2">
        <f t="shared" si="2"/>
        <v>215.59520000000001</v>
      </c>
      <c r="L87" s="2">
        <f t="shared" si="3"/>
        <v>6810.652368</v>
      </c>
    </row>
    <row r="88" spans="1:12" x14ac:dyDescent="0.3">
      <c r="A88" s="11">
        <v>45363</v>
      </c>
      <c r="B88" s="1" t="s">
        <v>40</v>
      </c>
      <c r="C88" s="1" t="s">
        <v>9</v>
      </c>
      <c r="D88" s="3" t="s">
        <v>41</v>
      </c>
      <c r="E88" s="1">
        <v>31.14</v>
      </c>
      <c r="F88" s="4">
        <v>6900</v>
      </c>
      <c r="G88" s="4">
        <v>0</v>
      </c>
      <c r="H88" s="4">
        <v>6900</v>
      </c>
      <c r="I88" s="5">
        <f>+VLOOKUP($C88,Hoja2!$A$2:$B$7,2,0)</f>
        <v>221.59520000000001</v>
      </c>
      <c r="J88" s="4">
        <v>6</v>
      </c>
      <c r="K88" s="2">
        <f t="shared" si="2"/>
        <v>215.59520000000001</v>
      </c>
      <c r="L88" s="2">
        <f t="shared" si="3"/>
        <v>6713.6345280000005</v>
      </c>
    </row>
    <row r="89" spans="1:12" x14ac:dyDescent="0.3">
      <c r="A89" s="11">
        <v>45424</v>
      </c>
      <c r="B89" s="1" t="s">
        <v>40</v>
      </c>
      <c r="C89" s="1" t="s">
        <v>9</v>
      </c>
      <c r="D89" s="3" t="s">
        <v>41</v>
      </c>
      <c r="E89" s="1">
        <v>28.66</v>
      </c>
      <c r="F89" s="4">
        <v>6350.4</v>
      </c>
      <c r="G89" s="4">
        <v>0</v>
      </c>
      <c r="H89" s="4">
        <v>6350.4</v>
      </c>
      <c r="I89" s="5">
        <f>+VLOOKUP($C89,Hoja2!$A$2:$B$7,2,0)</f>
        <v>221.59520000000001</v>
      </c>
      <c r="J89" s="4">
        <v>6</v>
      </c>
      <c r="K89" s="2">
        <f t="shared" si="2"/>
        <v>215.59520000000001</v>
      </c>
      <c r="L89" s="2">
        <f t="shared" si="3"/>
        <v>6178.9584320000004</v>
      </c>
    </row>
    <row r="90" spans="1:12" x14ac:dyDescent="0.3">
      <c r="A90" s="11">
        <v>45455</v>
      </c>
      <c r="B90" s="1" t="s">
        <v>40</v>
      </c>
      <c r="C90" s="1" t="s">
        <v>9</v>
      </c>
      <c r="D90" s="3" t="s">
        <v>41</v>
      </c>
      <c r="E90" s="1">
        <v>29.55</v>
      </c>
      <c r="F90" s="4">
        <v>6548</v>
      </c>
      <c r="G90" s="4">
        <v>0</v>
      </c>
      <c r="H90" s="4">
        <v>6548</v>
      </c>
      <c r="I90" s="5">
        <f>+VLOOKUP($C90,Hoja2!$A$2:$B$7,2,0)</f>
        <v>221.59520000000001</v>
      </c>
      <c r="J90" s="4">
        <v>6</v>
      </c>
      <c r="K90" s="2">
        <f t="shared" si="2"/>
        <v>215.59520000000001</v>
      </c>
      <c r="L90" s="2">
        <f t="shared" si="3"/>
        <v>6370.8381600000002</v>
      </c>
    </row>
    <row r="91" spans="1:12" x14ac:dyDescent="0.3">
      <c r="A91" s="11">
        <v>45547</v>
      </c>
      <c r="B91" s="1" t="s">
        <v>40</v>
      </c>
      <c r="C91" s="1" t="s">
        <v>9</v>
      </c>
      <c r="D91" s="3" t="s">
        <v>41</v>
      </c>
      <c r="E91" s="1">
        <v>22.56</v>
      </c>
      <c r="F91" s="4">
        <v>5000</v>
      </c>
      <c r="G91" s="4">
        <v>0</v>
      </c>
      <c r="H91" s="4">
        <v>5000</v>
      </c>
      <c r="I91" s="5">
        <f>+VLOOKUP($C91,Hoja2!$A$2:$B$7,2,0)</f>
        <v>221.59520000000001</v>
      </c>
      <c r="J91" s="4">
        <v>6</v>
      </c>
      <c r="K91" s="2">
        <f t="shared" si="2"/>
        <v>215.59520000000001</v>
      </c>
      <c r="L91" s="2">
        <f t="shared" si="3"/>
        <v>4863.8277120000002</v>
      </c>
    </row>
    <row r="92" spans="1:12" x14ac:dyDescent="0.3">
      <c r="A92" s="11">
        <v>45577</v>
      </c>
      <c r="B92" s="1" t="s">
        <v>40</v>
      </c>
      <c r="C92" s="1" t="s">
        <v>9</v>
      </c>
      <c r="D92" s="3" t="s">
        <v>41</v>
      </c>
      <c r="E92" s="1">
        <v>29.78</v>
      </c>
      <c r="F92" s="4">
        <v>6600</v>
      </c>
      <c r="G92" s="4">
        <v>0</v>
      </c>
      <c r="H92" s="4">
        <v>6600</v>
      </c>
      <c r="I92" s="5">
        <f>+VLOOKUP($C92,Hoja2!$A$2:$B$7,2,0)</f>
        <v>221.59520000000001</v>
      </c>
      <c r="J92" s="4">
        <v>6</v>
      </c>
      <c r="K92" s="2">
        <f t="shared" si="2"/>
        <v>215.59520000000001</v>
      </c>
      <c r="L92" s="2">
        <f t="shared" si="3"/>
        <v>6420.425056</v>
      </c>
    </row>
    <row r="93" spans="1:12" x14ac:dyDescent="0.3">
      <c r="A93" s="11">
        <v>45608</v>
      </c>
      <c r="B93" s="1" t="s">
        <v>40</v>
      </c>
      <c r="C93" s="1" t="s">
        <v>9</v>
      </c>
      <c r="D93" s="3" t="s">
        <v>41</v>
      </c>
      <c r="E93" s="1">
        <v>28.43</v>
      </c>
      <c r="F93" s="4">
        <v>6300</v>
      </c>
      <c r="G93" s="4">
        <v>0</v>
      </c>
      <c r="H93" s="4">
        <v>6300</v>
      </c>
      <c r="I93" s="5">
        <f>+VLOOKUP($C93,Hoja2!$A$2:$B$7,2,0)</f>
        <v>221.59520000000001</v>
      </c>
      <c r="J93" s="4">
        <v>6</v>
      </c>
      <c r="K93" s="2">
        <f t="shared" si="2"/>
        <v>215.59520000000001</v>
      </c>
      <c r="L93" s="2">
        <f t="shared" si="3"/>
        <v>6129.3715359999997</v>
      </c>
    </row>
    <row r="94" spans="1:12" x14ac:dyDescent="0.3">
      <c r="A94" s="11">
        <v>45638</v>
      </c>
      <c r="B94" s="1" t="s">
        <v>40</v>
      </c>
      <c r="C94" s="1" t="s">
        <v>9</v>
      </c>
      <c r="D94" s="3" t="s">
        <v>41</v>
      </c>
      <c r="E94" s="1">
        <v>22.56</v>
      </c>
      <c r="F94" s="4">
        <v>5000</v>
      </c>
      <c r="G94" s="4">
        <v>0</v>
      </c>
      <c r="H94" s="4">
        <v>5000</v>
      </c>
      <c r="I94" s="5">
        <f>+VLOOKUP($C94,Hoja2!$A$2:$B$7,2,0)</f>
        <v>221.59520000000001</v>
      </c>
      <c r="J94" s="4">
        <v>6</v>
      </c>
      <c r="K94" s="2">
        <f t="shared" si="2"/>
        <v>215.59520000000001</v>
      </c>
      <c r="L94" s="2">
        <f t="shared" si="3"/>
        <v>4863.8277120000002</v>
      </c>
    </row>
    <row r="95" spans="1:12" x14ac:dyDescent="0.3">
      <c r="A95" s="11" t="s">
        <v>131</v>
      </c>
      <c r="B95" s="1" t="s">
        <v>40</v>
      </c>
      <c r="C95" s="1" t="s">
        <v>9</v>
      </c>
      <c r="D95" s="3" t="s">
        <v>41</v>
      </c>
      <c r="E95" s="1">
        <v>29.78</v>
      </c>
      <c r="F95" s="4">
        <v>6600</v>
      </c>
      <c r="G95" s="4">
        <v>0</v>
      </c>
      <c r="H95" s="4">
        <v>6600</v>
      </c>
      <c r="I95" s="5">
        <f>+VLOOKUP($C95,Hoja2!$A$2:$B$7,2,0)</f>
        <v>221.59520000000001</v>
      </c>
      <c r="J95" s="4">
        <v>6</v>
      </c>
      <c r="K95" s="2">
        <f t="shared" si="2"/>
        <v>215.59520000000001</v>
      </c>
      <c r="L95" s="2">
        <f t="shared" si="3"/>
        <v>6420.425056</v>
      </c>
    </row>
    <row r="96" spans="1:12" x14ac:dyDescent="0.3">
      <c r="A96" s="11" t="s">
        <v>126</v>
      </c>
      <c r="B96" s="1" t="s">
        <v>40</v>
      </c>
      <c r="C96" s="1" t="s">
        <v>9</v>
      </c>
      <c r="D96" s="3" t="s">
        <v>41</v>
      </c>
      <c r="E96" s="1">
        <v>32.270000000000003</v>
      </c>
      <c r="F96" s="4">
        <v>7150</v>
      </c>
      <c r="G96" s="4">
        <v>0</v>
      </c>
      <c r="H96" s="4">
        <v>7150</v>
      </c>
      <c r="I96" s="5">
        <f>+VLOOKUP($C96,Hoja2!$A$2:$B$7,2,0)</f>
        <v>221.59520000000001</v>
      </c>
      <c r="J96" s="4">
        <v>6</v>
      </c>
      <c r="K96" s="2">
        <f t="shared" si="2"/>
        <v>215.59520000000001</v>
      </c>
      <c r="L96" s="2">
        <f t="shared" si="3"/>
        <v>6957.2571040000012</v>
      </c>
    </row>
    <row r="97" spans="1:12" x14ac:dyDescent="0.3">
      <c r="A97" s="11" t="s">
        <v>140</v>
      </c>
      <c r="B97" s="1" t="s">
        <v>40</v>
      </c>
      <c r="C97" s="1" t="s">
        <v>9</v>
      </c>
      <c r="D97" s="3" t="s">
        <v>41</v>
      </c>
      <c r="E97" s="1">
        <v>31.59</v>
      </c>
      <c r="F97" s="4">
        <v>7000.8</v>
      </c>
      <c r="G97" s="4">
        <v>0</v>
      </c>
      <c r="H97" s="4">
        <v>7000.8</v>
      </c>
      <c r="I97" s="5">
        <f>+VLOOKUP($C97,Hoja2!$A$2:$B$7,2,0)</f>
        <v>221.59520000000001</v>
      </c>
      <c r="J97" s="4">
        <v>6</v>
      </c>
      <c r="K97" s="2">
        <f t="shared" si="2"/>
        <v>215.59520000000001</v>
      </c>
      <c r="L97" s="2">
        <f t="shared" si="3"/>
        <v>6810.652368</v>
      </c>
    </row>
    <row r="98" spans="1:12" x14ac:dyDescent="0.3">
      <c r="A98" s="11" t="s">
        <v>127</v>
      </c>
      <c r="B98" s="1" t="s">
        <v>40</v>
      </c>
      <c r="C98" s="1" t="s">
        <v>9</v>
      </c>
      <c r="D98" s="3" t="s">
        <v>41</v>
      </c>
      <c r="E98" s="1">
        <v>28.65</v>
      </c>
      <c r="F98" s="4">
        <v>6349</v>
      </c>
      <c r="G98" s="4">
        <v>0</v>
      </c>
      <c r="H98" s="4">
        <v>6349</v>
      </c>
      <c r="I98" s="5">
        <f>+VLOOKUP($C98,Hoja2!$A$2:$B$7,2,0)</f>
        <v>221.59520000000001</v>
      </c>
      <c r="J98" s="4">
        <v>6</v>
      </c>
      <c r="K98" s="2">
        <f t="shared" si="2"/>
        <v>215.59520000000001</v>
      </c>
      <c r="L98" s="2">
        <f t="shared" si="3"/>
        <v>6176.8024800000003</v>
      </c>
    </row>
    <row r="99" spans="1:12" x14ac:dyDescent="0.3">
      <c r="A99" s="11" t="s">
        <v>129</v>
      </c>
      <c r="B99" s="1" t="s">
        <v>40</v>
      </c>
      <c r="C99" s="1" t="s">
        <v>9</v>
      </c>
      <c r="D99" s="3" t="s">
        <v>41</v>
      </c>
      <c r="E99" s="1">
        <v>31.59</v>
      </c>
      <c r="F99" s="4">
        <v>7000</v>
      </c>
      <c r="G99" s="4">
        <v>0</v>
      </c>
      <c r="H99" s="4">
        <v>7000</v>
      </c>
      <c r="I99" s="5">
        <f>+VLOOKUP($C99,Hoja2!$A$2:$B$7,2,0)</f>
        <v>221.59520000000001</v>
      </c>
      <c r="J99" s="4">
        <v>6</v>
      </c>
      <c r="K99" s="2">
        <f t="shared" si="2"/>
        <v>215.59520000000001</v>
      </c>
      <c r="L99" s="2">
        <f t="shared" si="3"/>
        <v>6810.652368</v>
      </c>
    </row>
    <row r="100" spans="1:12" x14ac:dyDescent="0.3">
      <c r="A100" s="11" t="s">
        <v>137</v>
      </c>
      <c r="B100" s="1" t="s">
        <v>40</v>
      </c>
      <c r="C100" s="1" t="s">
        <v>9</v>
      </c>
      <c r="D100" s="3" t="s">
        <v>41</v>
      </c>
      <c r="E100" s="1">
        <v>24.14</v>
      </c>
      <c r="F100" s="4">
        <v>5350</v>
      </c>
      <c r="G100" s="4">
        <v>0</v>
      </c>
      <c r="H100" s="4">
        <v>5350</v>
      </c>
      <c r="I100" s="5">
        <f>+VLOOKUP($C100,Hoja2!$A$2:$B$7,2,0)</f>
        <v>221.59520000000001</v>
      </c>
      <c r="J100" s="4">
        <v>6</v>
      </c>
      <c r="K100" s="2">
        <f t="shared" si="2"/>
        <v>215.59520000000001</v>
      </c>
      <c r="L100" s="2">
        <f t="shared" si="3"/>
        <v>5204.4681280000004</v>
      </c>
    </row>
    <row r="101" spans="1:12" ht="28.8" hidden="1" x14ac:dyDescent="0.3">
      <c r="A101" s="11">
        <v>45303</v>
      </c>
      <c r="B101" s="1" t="s">
        <v>42</v>
      </c>
      <c r="C101" s="1" t="s">
        <v>11</v>
      </c>
      <c r="D101" s="3" t="s">
        <v>43</v>
      </c>
      <c r="E101" s="1">
        <v>8.36</v>
      </c>
      <c r="F101" s="4">
        <v>2000</v>
      </c>
      <c r="G101" s="4">
        <v>0</v>
      </c>
      <c r="H101" s="4">
        <v>2000</v>
      </c>
      <c r="I101" s="5">
        <f>+VLOOKUP($C101,Hoja2!$A$2:$B$7,2,0)</f>
        <v>239.10159999999999</v>
      </c>
      <c r="J101" s="4">
        <v>6</v>
      </c>
      <c r="K101" s="2">
        <f t="shared" si="2"/>
        <v>233.10159999999999</v>
      </c>
      <c r="L101" s="2">
        <f t="shared" si="3"/>
        <v>1948.7293759999998</v>
      </c>
    </row>
    <row r="102" spans="1:12" ht="28.8" hidden="1" x14ac:dyDescent="0.3">
      <c r="A102" s="11">
        <v>45334</v>
      </c>
      <c r="B102" s="1" t="s">
        <v>42</v>
      </c>
      <c r="C102" s="1" t="s">
        <v>13</v>
      </c>
      <c r="D102" s="3" t="s">
        <v>43</v>
      </c>
      <c r="E102" s="1">
        <v>10.34</v>
      </c>
      <c r="F102" s="4">
        <v>3000</v>
      </c>
      <c r="G102" s="4">
        <v>0</v>
      </c>
      <c r="H102" s="4">
        <v>3000</v>
      </c>
      <c r="I102" s="5">
        <f>+VLOOKUP($C102,Hoja2!$A$2:$B$7,2,0)</f>
        <v>290.10039999999998</v>
      </c>
      <c r="J102" s="4">
        <v>6</v>
      </c>
      <c r="K102" s="2">
        <f t="shared" si="2"/>
        <v>284.10039999999998</v>
      </c>
      <c r="L102" s="2">
        <f t="shared" si="3"/>
        <v>2937.5981359999996</v>
      </c>
    </row>
    <row r="103" spans="1:12" ht="28.8" hidden="1" x14ac:dyDescent="0.3">
      <c r="A103" s="11">
        <v>45547</v>
      </c>
      <c r="B103" s="1" t="s">
        <v>42</v>
      </c>
      <c r="C103" s="1" t="s">
        <v>11</v>
      </c>
      <c r="D103" s="3" t="s">
        <v>43</v>
      </c>
      <c r="E103" s="1">
        <v>27.19</v>
      </c>
      <c r="F103" s="4">
        <v>6500</v>
      </c>
      <c r="G103" s="4">
        <v>0</v>
      </c>
      <c r="H103" s="4">
        <v>6500</v>
      </c>
      <c r="I103" s="5">
        <f>+VLOOKUP($C103,Hoja2!$A$2:$B$7,2,0)</f>
        <v>239.10159999999999</v>
      </c>
      <c r="J103" s="4">
        <v>6</v>
      </c>
      <c r="K103" s="2">
        <f t="shared" si="2"/>
        <v>233.10159999999999</v>
      </c>
      <c r="L103" s="2">
        <f t="shared" si="3"/>
        <v>6338.0325039999998</v>
      </c>
    </row>
    <row r="104" spans="1:12" ht="28.8" hidden="1" x14ac:dyDescent="0.3">
      <c r="A104" s="11" t="s">
        <v>126</v>
      </c>
      <c r="B104" s="1" t="s">
        <v>42</v>
      </c>
      <c r="C104" s="1" t="s">
        <v>13</v>
      </c>
      <c r="D104" s="3" t="s">
        <v>43</v>
      </c>
      <c r="E104" s="1">
        <v>22.41</v>
      </c>
      <c r="F104" s="4">
        <v>6500</v>
      </c>
      <c r="G104" s="4">
        <v>0</v>
      </c>
      <c r="H104" s="4">
        <v>6500</v>
      </c>
      <c r="I104" s="5">
        <f>+VLOOKUP($C104,Hoja2!$A$2:$B$7,2,0)</f>
        <v>290.10039999999998</v>
      </c>
      <c r="J104" s="4">
        <v>6</v>
      </c>
      <c r="K104" s="2">
        <f t="shared" si="2"/>
        <v>284.10039999999998</v>
      </c>
      <c r="L104" s="2">
        <f t="shared" si="3"/>
        <v>6366.6899639999992</v>
      </c>
    </row>
    <row r="105" spans="1:12" ht="28.8" hidden="1" x14ac:dyDescent="0.3">
      <c r="A105" s="11" t="s">
        <v>138</v>
      </c>
      <c r="B105" s="1" t="s">
        <v>42</v>
      </c>
      <c r="C105" s="1" t="s">
        <v>13</v>
      </c>
      <c r="D105" s="3" t="s">
        <v>43</v>
      </c>
      <c r="E105" s="1">
        <v>18.61</v>
      </c>
      <c r="F105" s="4">
        <v>5400</v>
      </c>
      <c r="G105" s="4">
        <v>0</v>
      </c>
      <c r="H105" s="4">
        <v>5400</v>
      </c>
      <c r="I105" s="5">
        <f>+VLOOKUP($C105,Hoja2!$A$2:$B$7,2,0)</f>
        <v>290.10039999999998</v>
      </c>
      <c r="J105" s="4">
        <v>6</v>
      </c>
      <c r="K105" s="2">
        <f t="shared" si="2"/>
        <v>284.10039999999998</v>
      </c>
      <c r="L105" s="2">
        <f t="shared" si="3"/>
        <v>5287.1084439999995</v>
      </c>
    </row>
    <row r="106" spans="1:12" ht="28.8" hidden="1" x14ac:dyDescent="0.3">
      <c r="A106" s="11" t="s">
        <v>138</v>
      </c>
      <c r="B106" s="1" t="s">
        <v>42</v>
      </c>
      <c r="C106" s="1" t="s">
        <v>11</v>
      </c>
      <c r="D106" s="3" t="s">
        <v>43</v>
      </c>
      <c r="E106" s="1">
        <v>12.97</v>
      </c>
      <c r="F106" s="4">
        <v>3100</v>
      </c>
      <c r="G106" s="4">
        <v>0</v>
      </c>
      <c r="H106" s="4">
        <v>3100</v>
      </c>
      <c r="I106" s="5">
        <f>+VLOOKUP($C106,Hoja2!$A$2:$B$7,2,0)</f>
        <v>239.10159999999999</v>
      </c>
      <c r="J106" s="4">
        <v>6</v>
      </c>
      <c r="K106" s="2">
        <f t="shared" si="2"/>
        <v>233.10159999999999</v>
      </c>
      <c r="L106" s="2">
        <f t="shared" si="3"/>
        <v>3023.3277520000001</v>
      </c>
    </row>
    <row r="107" spans="1:12" ht="28.8" hidden="1" x14ac:dyDescent="0.3">
      <c r="A107" s="11" t="s">
        <v>132</v>
      </c>
      <c r="B107" s="1" t="s">
        <v>42</v>
      </c>
      <c r="C107" s="1" t="s">
        <v>11</v>
      </c>
      <c r="D107" s="3" t="s">
        <v>43</v>
      </c>
      <c r="E107" s="1">
        <v>29.28</v>
      </c>
      <c r="F107" s="4">
        <v>7000</v>
      </c>
      <c r="G107" s="4">
        <v>0</v>
      </c>
      <c r="H107" s="4">
        <v>7000</v>
      </c>
      <c r="I107" s="5">
        <f>+VLOOKUP($C107,Hoja2!$A$2:$B$7,2,0)</f>
        <v>239.10159999999999</v>
      </c>
      <c r="J107" s="4">
        <v>6</v>
      </c>
      <c r="K107" s="2">
        <f t="shared" si="2"/>
        <v>233.10159999999999</v>
      </c>
      <c r="L107" s="2">
        <f t="shared" si="3"/>
        <v>6825.2148479999996</v>
      </c>
    </row>
    <row r="108" spans="1:12" ht="28.8" hidden="1" x14ac:dyDescent="0.3">
      <c r="A108" s="11" t="s">
        <v>129</v>
      </c>
      <c r="B108" s="1" t="s">
        <v>42</v>
      </c>
      <c r="C108" s="1" t="s">
        <v>13</v>
      </c>
      <c r="D108" s="3" t="s">
        <v>43</v>
      </c>
      <c r="E108" s="1">
        <v>20.68</v>
      </c>
      <c r="F108" s="4">
        <v>6000</v>
      </c>
      <c r="G108" s="4">
        <v>0</v>
      </c>
      <c r="H108" s="4">
        <v>6000</v>
      </c>
      <c r="I108" s="5">
        <f>+VLOOKUP($C108,Hoja2!$A$2:$B$7,2,0)</f>
        <v>290.10039999999998</v>
      </c>
      <c r="J108" s="4">
        <v>6</v>
      </c>
      <c r="K108" s="2">
        <f t="shared" si="2"/>
        <v>284.10039999999998</v>
      </c>
      <c r="L108" s="2">
        <f t="shared" si="3"/>
        <v>5875.1962719999992</v>
      </c>
    </row>
    <row r="109" spans="1:12" ht="28.8" hidden="1" x14ac:dyDescent="0.3">
      <c r="A109" s="11" t="s">
        <v>128</v>
      </c>
      <c r="B109" s="1" t="s">
        <v>42</v>
      </c>
      <c r="C109" s="1" t="s">
        <v>9</v>
      </c>
      <c r="D109" s="3" t="s">
        <v>43</v>
      </c>
      <c r="E109" s="1">
        <v>9.0299999999999994</v>
      </c>
      <c r="F109" s="4">
        <v>2000</v>
      </c>
      <c r="G109" s="4">
        <v>0</v>
      </c>
      <c r="H109" s="4">
        <v>2000</v>
      </c>
      <c r="I109" s="5">
        <f>+VLOOKUP($C109,Hoja2!$A$2:$B$7,2,0)</f>
        <v>221.59520000000001</v>
      </c>
      <c r="J109" s="4">
        <v>6</v>
      </c>
      <c r="K109" s="2">
        <f t="shared" si="2"/>
        <v>215.59520000000001</v>
      </c>
      <c r="L109" s="2">
        <f t="shared" si="3"/>
        <v>1946.824656</v>
      </c>
    </row>
    <row r="110" spans="1:12" ht="28.8" hidden="1" x14ac:dyDescent="0.3">
      <c r="A110" s="11">
        <v>45394</v>
      </c>
      <c r="B110" s="1" t="s">
        <v>44</v>
      </c>
      <c r="C110" s="1" t="s">
        <v>13</v>
      </c>
      <c r="D110" s="3" t="s">
        <v>45</v>
      </c>
      <c r="E110" s="1">
        <v>13.68</v>
      </c>
      <c r="F110" s="4">
        <v>3970</v>
      </c>
      <c r="G110" s="4">
        <v>0</v>
      </c>
      <c r="H110" s="4">
        <v>3970</v>
      </c>
      <c r="I110" s="5">
        <f>+VLOOKUP($C110,Hoja2!$A$2:$B$7,2,0)</f>
        <v>290.10039999999998</v>
      </c>
      <c r="J110" s="4">
        <v>6</v>
      </c>
      <c r="K110" s="2">
        <f t="shared" si="2"/>
        <v>284.10039999999998</v>
      </c>
      <c r="L110" s="2">
        <f t="shared" si="3"/>
        <v>3886.4934719999997</v>
      </c>
    </row>
    <row r="111" spans="1:12" ht="28.8" hidden="1" x14ac:dyDescent="0.3">
      <c r="A111" s="11">
        <v>45608</v>
      </c>
      <c r="B111" s="1" t="s">
        <v>46</v>
      </c>
      <c r="C111" s="1" t="s">
        <v>9</v>
      </c>
      <c r="D111" s="3" t="s">
        <v>47</v>
      </c>
      <c r="E111" s="1">
        <v>45.12</v>
      </c>
      <c r="F111" s="4">
        <v>9999</v>
      </c>
      <c r="G111" s="4">
        <v>0</v>
      </c>
      <c r="H111" s="4">
        <v>9999</v>
      </c>
      <c r="I111" s="5">
        <f>+VLOOKUP($C111,Hoja2!$A$2:$B$7,2,0)</f>
        <v>221.59520000000001</v>
      </c>
      <c r="J111" s="4">
        <v>6</v>
      </c>
      <c r="K111" s="2">
        <f t="shared" si="2"/>
        <v>215.59520000000001</v>
      </c>
      <c r="L111" s="2">
        <f t="shared" si="3"/>
        <v>9727.6554240000005</v>
      </c>
    </row>
    <row r="112" spans="1:12" ht="28.8" hidden="1" x14ac:dyDescent="0.3">
      <c r="A112" s="11">
        <v>45608</v>
      </c>
      <c r="B112" s="1" t="s">
        <v>46</v>
      </c>
      <c r="C112" s="1" t="s">
        <v>9</v>
      </c>
      <c r="D112" s="3" t="s">
        <v>47</v>
      </c>
      <c r="E112" s="1">
        <v>45.12</v>
      </c>
      <c r="F112" s="4">
        <v>9999</v>
      </c>
      <c r="G112" s="4">
        <v>0</v>
      </c>
      <c r="H112" s="4">
        <v>9999</v>
      </c>
      <c r="I112" s="5">
        <f>+VLOOKUP($C112,Hoja2!$A$2:$B$7,2,0)</f>
        <v>221.59520000000001</v>
      </c>
      <c r="J112" s="4">
        <v>6</v>
      </c>
      <c r="K112" s="2">
        <f t="shared" si="2"/>
        <v>215.59520000000001</v>
      </c>
      <c r="L112" s="2">
        <f t="shared" si="3"/>
        <v>9727.6554240000005</v>
      </c>
    </row>
    <row r="113" spans="1:12" ht="28.8" hidden="1" x14ac:dyDescent="0.3">
      <c r="A113" s="11" t="s">
        <v>138</v>
      </c>
      <c r="B113" s="1" t="s">
        <v>46</v>
      </c>
      <c r="C113" s="1" t="s">
        <v>13</v>
      </c>
      <c r="D113" s="3" t="s">
        <v>47</v>
      </c>
      <c r="E113" s="1">
        <v>17.239999999999998</v>
      </c>
      <c r="F113" s="4">
        <v>5000</v>
      </c>
      <c r="G113" s="4">
        <v>0</v>
      </c>
      <c r="H113" s="4">
        <v>5000</v>
      </c>
      <c r="I113" s="5">
        <f>+VLOOKUP($C113,Hoja2!$A$2:$B$7,2,0)</f>
        <v>290.10039999999998</v>
      </c>
      <c r="J113" s="4">
        <v>6</v>
      </c>
      <c r="K113" s="2">
        <f t="shared" si="2"/>
        <v>284.10039999999998</v>
      </c>
      <c r="L113" s="2">
        <f t="shared" si="3"/>
        <v>4897.890895999999</v>
      </c>
    </row>
    <row r="114" spans="1:12" ht="28.8" hidden="1" x14ac:dyDescent="0.3">
      <c r="A114" s="11" t="s">
        <v>129</v>
      </c>
      <c r="B114" s="1" t="s">
        <v>19</v>
      </c>
      <c r="C114" s="1" t="s">
        <v>13</v>
      </c>
      <c r="D114" s="3" t="s">
        <v>20</v>
      </c>
      <c r="E114" s="1">
        <v>34.47</v>
      </c>
      <c r="F114" s="4">
        <v>10000</v>
      </c>
      <c r="G114" s="4">
        <v>0</v>
      </c>
      <c r="H114" s="4">
        <v>10000</v>
      </c>
      <c r="I114" s="5">
        <f>+VLOOKUP($C114,Hoja2!$A$2:$B$7,2,0)</f>
        <v>290.10039999999998</v>
      </c>
      <c r="J114" s="4">
        <v>6</v>
      </c>
      <c r="K114" s="2">
        <f t="shared" si="2"/>
        <v>284.10039999999998</v>
      </c>
      <c r="L114" s="2">
        <f t="shared" si="3"/>
        <v>9792.9407879999981</v>
      </c>
    </row>
    <row r="115" spans="1:12" ht="28.8" hidden="1" x14ac:dyDescent="0.3">
      <c r="A115" s="11" t="s">
        <v>129</v>
      </c>
      <c r="B115" s="1" t="s">
        <v>19</v>
      </c>
      <c r="C115" s="1" t="s">
        <v>21</v>
      </c>
      <c r="D115" s="3" t="s">
        <v>20</v>
      </c>
      <c r="E115" s="1">
        <v>18.350000000000001</v>
      </c>
      <c r="F115" s="4">
        <v>5000</v>
      </c>
      <c r="G115" s="4">
        <v>0</v>
      </c>
      <c r="H115" s="4">
        <v>5000</v>
      </c>
      <c r="I115" s="5">
        <f>+VLOOKUP($C115,Hoja2!$A$2:$B$7,2,0)</f>
        <v>272.50659999999999</v>
      </c>
      <c r="J115" s="4">
        <v>6</v>
      </c>
      <c r="K115" s="2">
        <f t="shared" si="2"/>
        <v>266.50659999999999</v>
      </c>
      <c r="L115" s="2">
        <f t="shared" si="3"/>
        <v>4890.3961100000006</v>
      </c>
    </row>
    <row r="116" spans="1:12" ht="28.8" hidden="1" x14ac:dyDescent="0.3">
      <c r="A116" s="11">
        <v>45608</v>
      </c>
      <c r="B116" s="1" t="s">
        <v>19</v>
      </c>
      <c r="C116" s="1" t="s">
        <v>13</v>
      </c>
      <c r="D116" s="3" t="s">
        <v>20</v>
      </c>
      <c r="E116" s="1">
        <v>18.96</v>
      </c>
      <c r="F116" s="4">
        <v>5500</v>
      </c>
      <c r="G116" s="4">
        <v>0</v>
      </c>
      <c r="H116" s="4">
        <v>5500</v>
      </c>
      <c r="I116" s="5">
        <f>+VLOOKUP($C116,Hoja2!$A$2:$B$7,2,0)</f>
        <v>290.10039999999998</v>
      </c>
      <c r="J116" s="4">
        <v>6</v>
      </c>
      <c r="K116" s="2">
        <f t="shared" si="2"/>
        <v>284.10039999999998</v>
      </c>
      <c r="L116" s="2">
        <f t="shared" si="3"/>
        <v>5386.543584</v>
      </c>
    </row>
    <row r="117" spans="1:12" ht="28.8" hidden="1" x14ac:dyDescent="0.3">
      <c r="A117" s="11">
        <v>45608</v>
      </c>
      <c r="B117" s="1" t="s">
        <v>19</v>
      </c>
      <c r="C117" s="1" t="s">
        <v>21</v>
      </c>
      <c r="D117" s="3" t="s">
        <v>20</v>
      </c>
      <c r="E117" s="1">
        <v>7.34</v>
      </c>
      <c r="F117" s="4">
        <v>2000</v>
      </c>
      <c r="G117" s="4">
        <v>0</v>
      </c>
      <c r="H117" s="4">
        <v>2000</v>
      </c>
      <c r="I117" s="5">
        <f>+VLOOKUP($C117,Hoja2!$A$2:$B$7,2,0)</f>
        <v>272.50659999999999</v>
      </c>
      <c r="J117" s="4">
        <v>6</v>
      </c>
      <c r="K117" s="2">
        <f t="shared" si="2"/>
        <v>266.50659999999999</v>
      </c>
      <c r="L117" s="2">
        <f t="shared" si="3"/>
        <v>1956.1584439999999</v>
      </c>
    </row>
    <row r="118" spans="1:12" ht="28.8" hidden="1" x14ac:dyDescent="0.3">
      <c r="A118" s="11" t="s">
        <v>138</v>
      </c>
      <c r="B118" s="1" t="s">
        <v>48</v>
      </c>
      <c r="C118" s="1" t="s">
        <v>13</v>
      </c>
      <c r="D118" s="3" t="s">
        <v>49</v>
      </c>
      <c r="E118" s="1">
        <v>3.45</v>
      </c>
      <c r="F118" s="4">
        <v>1000</v>
      </c>
      <c r="G118" s="4">
        <v>0</v>
      </c>
      <c r="H118" s="4">
        <v>1000</v>
      </c>
      <c r="I118" s="5">
        <f>+VLOOKUP($C118,Hoja2!$A$2:$B$7,2,0)</f>
        <v>290.10039999999998</v>
      </c>
      <c r="J118" s="4">
        <v>6</v>
      </c>
      <c r="K118" s="2">
        <f t="shared" si="2"/>
        <v>284.10039999999998</v>
      </c>
      <c r="L118" s="2">
        <f t="shared" si="3"/>
        <v>980.14638000000002</v>
      </c>
    </row>
    <row r="119" spans="1:12" ht="28.8" hidden="1" x14ac:dyDescent="0.3">
      <c r="A119" s="11" t="s">
        <v>135</v>
      </c>
      <c r="B119" s="1" t="s">
        <v>48</v>
      </c>
      <c r="C119" s="1" t="s">
        <v>13</v>
      </c>
      <c r="D119" s="3" t="s">
        <v>49</v>
      </c>
      <c r="E119" s="1">
        <v>5.17</v>
      </c>
      <c r="F119" s="4">
        <v>1500</v>
      </c>
      <c r="G119" s="4">
        <v>0</v>
      </c>
      <c r="H119" s="4">
        <v>1500</v>
      </c>
      <c r="I119" s="5">
        <f>+VLOOKUP($C119,Hoja2!$A$2:$B$7,2,0)</f>
        <v>290.10039999999998</v>
      </c>
      <c r="J119" s="4">
        <v>6</v>
      </c>
      <c r="K119" s="2">
        <f t="shared" si="2"/>
        <v>284.10039999999998</v>
      </c>
      <c r="L119" s="2">
        <f t="shared" si="3"/>
        <v>1468.7990679999998</v>
      </c>
    </row>
    <row r="120" spans="1:12" ht="28.8" hidden="1" x14ac:dyDescent="0.3">
      <c r="A120" s="11" t="s">
        <v>141</v>
      </c>
      <c r="B120" s="1" t="s">
        <v>50</v>
      </c>
      <c r="C120" s="1" t="s">
        <v>9</v>
      </c>
      <c r="D120" s="3" t="s">
        <v>51</v>
      </c>
      <c r="E120" s="1">
        <v>14.42</v>
      </c>
      <c r="F120" s="4">
        <v>3196</v>
      </c>
      <c r="G120" s="4">
        <v>0</v>
      </c>
      <c r="H120" s="4">
        <v>3196</v>
      </c>
      <c r="I120" s="5">
        <f>+VLOOKUP($C120,Hoja2!$A$2:$B$7,2,0)</f>
        <v>221.59520000000001</v>
      </c>
      <c r="J120" s="4">
        <v>6</v>
      </c>
      <c r="K120" s="2">
        <f t="shared" si="2"/>
        <v>215.59520000000001</v>
      </c>
      <c r="L120" s="2">
        <f t="shared" si="3"/>
        <v>3108.8827839999999</v>
      </c>
    </row>
    <row r="121" spans="1:12" ht="28.8" hidden="1" x14ac:dyDescent="0.3">
      <c r="A121" s="11">
        <v>45424</v>
      </c>
      <c r="B121" s="1" t="s">
        <v>50</v>
      </c>
      <c r="C121" s="1" t="s">
        <v>13</v>
      </c>
      <c r="D121" s="3" t="s">
        <v>51</v>
      </c>
      <c r="E121" s="1">
        <v>2.0699999999999998</v>
      </c>
      <c r="F121" s="4">
        <v>600</v>
      </c>
      <c r="G121" s="4">
        <v>0</v>
      </c>
      <c r="H121" s="4">
        <v>600</v>
      </c>
      <c r="I121" s="5">
        <f>+VLOOKUP($C121,Hoja2!$A$2:$B$7,2,0)</f>
        <v>290.10039999999998</v>
      </c>
      <c r="J121" s="4">
        <v>6</v>
      </c>
      <c r="K121" s="2">
        <f t="shared" si="2"/>
        <v>284.10039999999998</v>
      </c>
      <c r="L121" s="2">
        <f t="shared" si="3"/>
        <v>588.08782799999994</v>
      </c>
    </row>
    <row r="122" spans="1:12" ht="28.8" hidden="1" x14ac:dyDescent="0.3">
      <c r="A122" s="11">
        <v>45363</v>
      </c>
      <c r="B122" s="1" t="s">
        <v>50</v>
      </c>
      <c r="C122" s="1" t="s">
        <v>9</v>
      </c>
      <c r="D122" s="3" t="s">
        <v>51</v>
      </c>
      <c r="E122" s="1">
        <v>27.08</v>
      </c>
      <c r="F122" s="4">
        <v>6000</v>
      </c>
      <c r="G122" s="4">
        <v>0</v>
      </c>
      <c r="H122" s="4">
        <v>6000</v>
      </c>
      <c r="I122" s="5">
        <f>+VLOOKUP($C122,Hoja2!$A$2:$B$7,2,0)</f>
        <v>221.59520000000001</v>
      </c>
      <c r="J122" s="4">
        <v>6</v>
      </c>
      <c r="K122" s="2">
        <f t="shared" si="2"/>
        <v>215.59520000000001</v>
      </c>
      <c r="L122" s="2">
        <f t="shared" si="3"/>
        <v>5838.3180160000002</v>
      </c>
    </row>
    <row r="123" spans="1:12" ht="28.8" hidden="1" x14ac:dyDescent="0.3">
      <c r="A123" s="11">
        <v>45516</v>
      </c>
      <c r="B123" s="1" t="s">
        <v>50</v>
      </c>
      <c r="C123" s="1" t="s">
        <v>9</v>
      </c>
      <c r="D123" s="3" t="s">
        <v>51</v>
      </c>
      <c r="E123" s="1">
        <v>8.1199999999999992</v>
      </c>
      <c r="F123" s="4">
        <v>1800</v>
      </c>
      <c r="G123" s="4">
        <v>0</v>
      </c>
      <c r="H123" s="4">
        <v>1800</v>
      </c>
      <c r="I123" s="5">
        <f>+VLOOKUP($C123,Hoja2!$A$2:$B$7,2,0)</f>
        <v>221.59520000000001</v>
      </c>
      <c r="J123" s="4">
        <v>6</v>
      </c>
      <c r="K123" s="2">
        <f t="shared" si="2"/>
        <v>215.59520000000001</v>
      </c>
      <c r="L123" s="2">
        <f t="shared" si="3"/>
        <v>1750.633024</v>
      </c>
    </row>
    <row r="124" spans="1:12" ht="28.8" hidden="1" x14ac:dyDescent="0.3">
      <c r="A124" s="11" t="s">
        <v>141</v>
      </c>
      <c r="B124" s="1" t="s">
        <v>50</v>
      </c>
      <c r="C124" s="1" t="s">
        <v>9</v>
      </c>
      <c r="D124" s="3" t="s">
        <v>51</v>
      </c>
      <c r="E124" s="1">
        <v>21.21</v>
      </c>
      <c r="F124" s="4">
        <v>4700</v>
      </c>
      <c r="G124" s="4">
        <v>0</v>
      </c>
      <c r="H124" s="4">
        <v>4700</v>
      </c>
      <c r="I124" s="5">
        <f>+VLOOKUP($C124,Hoja2!$A$2:$B$7,2,0)</f>
        <v>221.59520000000001</v>
      </c>
      <c r="J124" s="4">
        <v>6</v>
      </c>
      <c r="K124" s="2">
        <f t="shared" si="2"/>
        <v>215.59520000000001</v>
      </c>
      <c r="L124" s="2">
        <f t="shared" si="3"/>
        <v>4572.7741919999999</v>
      </c>
    </row>
    <row r="125" spans="1:12" ht="28.8" hidden="1" x14ac:dyDescent="0.3">
      <c r="A125" s="11" t="s">
        <v>140</v>
      </c>
      <c r="B125" s="1" t="s">
        <v>50</v>
      </c>
      <c r="C125" s="1" t="s">
        <v>9</v>
      </c>
      <c r="D125" s="3" t="s">
        <v>51</v>
      </c>
      <c r="E125" s="1">
        <v>27.08</v>
      </c>
      <c r="F125" s="4">
        <v>6000</v>
      </c>
      <c r="G125" s="4">
        <v>0</v>
      </c>
      <c r="H125" s="4">
        <v>6000</v>
      </c>
      <c r="I125" s="5">
        <f>+VLOOKUP($C125,Hoja2!$A$2:$B$7,2,0)</f>
        <v>221.59520000000001</v>
      </c>
      <c r="J125" s="4">
        <v>6</v>
      </c>
      <c r="K125" s="2">
        <f t="shared" si="2"/>
        <v>215.59520000000001</v>
      </c>
      <c r="L125" s="2">
        <f t="shared" si="3"/>
        <v>5838.3180160000002</v>
      </c>
    </row>
    <row r="126" spans="1:12" ht="28.8" hidden="1" x14ac:dyDescent="0.3">
      <c r="A126" s="11" t="s">
        <v>134</v>
      </c>
      <c r="B126" s="1" t="s">
        <v>50</v>
      </c>
      <c r="C126" s="1" t="s">
        <v>9</v>
      </c>
      <c r="D126" s="3" t="s">
        <v>51</v>
      </c>
      <c r="E126" s="1">
        <v>19.38</v>
      </c>
      <c r="F126" s="4">
        <v>4294</v>
      </c>
      <c r="G126" s="4">
        <v>0</v>
      </c>
      <c r="H126" s="4">
        <v>4294</v>
      </c>
      <c r="I126" s="5">
        <f>+VLOOKUP($C126,Hoja2!$A$2:$B$7,2,0)</f>
        <v>221.59520000000001</v>
      </c>
      <c r="J126" s="4">
        <v>6</v>
      </c>
      <c r="K126" s="2">
        <f t="shared" si="2"/>
        <v>215.59520000000001</v>
      </c>
      <c r="L126" s="2">
        <f t="shared" si="3"/>
        <v>4178.2349759999997</v>
      </c>
    </row>
    <row r="127" spans="1:12" ht="28.8" hidden="1" x14ac:dyDescent="0.3">
      <c r="A127" s="11">
        <v>45394</v>
      </c>
      <c r="B127" s="1" t="s">
        <v>50</v>
      </c>
      <c r="C127" s="1" t="s">
        <v>9</v>
      </c>
      <c r="D127" s="3" t="s">
        <v>51</v>
      </c>
      <c r="E127" s="1">
        <v>19.399999999999999</v>
      </c>
      <c r="F127" s="4">
        <v>4299.5</v>
      </c>
      <c r="G127" s="4">
        <v>0</v>
      </c>
      <c r="H127" s="4">
        <v>4299.5</v>
      </c>
      <c r="I127" s="5">
        <f>+VLOOKUP($C127,Hoja2!$A$2:$B$7,2,0)</f>
        <v>221.59520000000001</v>
      </c>
      <c r="J127" s="4">
        <v>6</v>
      </c>
      <c r="K127" s="2">
        <f t="shared" si="2"/>
        <v>215.59520000000001</v>
      </c>
      <c r="L127" s="2">
        <f t="shared" si="3"/>
        <v>4182.5468799999999</v>
      </c>
    </row>
    <row r="128" spans="1:12" ht="28.8" hidden="1" x14ac:dyDescent="0.3">
      <c r="A128" s="11">
        <v>45547</v>
      </c>
      <c r="B128" s="1" t="s">
        <v>50</v>
      </c>
      <c r="C128" s="1" t="s">
        <v>9</v>
      </c>
      <c r="D128" s="3" t="s">
        <v>51</v>
      </c>
      <c r="E128" s="1">
        <v>16.25</v>
      </c>
      <c r="F128" s="4">
        <v>3600</v>
      </c>
      <c r="G128" s="4">
        <v>0</v>
      </c>
      <c r="H128" s="4">
        <v>3600</v>
      </c>
      <c r="I128" s="5">
        <f>+VLOOKUP($C128,Hoja2!$A$2:$B$7,2,0)</f>
        <v>221.59520000000001</v>
      </c>
      <c r="J128" s="4">
        <v>6</v>
      </c>
      <c r="K128" s="2">
        <f t="shared" si="2"/>
        <v>215.59520000000001</v>
      </c>
      <c r="L128" s="2">
        <f t="shared" si="3"/>
        <v>3503.422</v>
      </c>
    </row>
    <row r="129" spans="1:12" ht="28.8" hidden="1" x14ac:dyDescent="0.3">
      <c r="A129" s="11">
        <v>45547</v>
      </c>
      <c r="B129" s="1" t="s">
        <v>26</v>
      </c>
      <c r="C129" s="1" t="s">
        <v>11</v>
      </c>
      <c r="D129" s="3" t="s">
        <v>27</v>
      </c>
      <c r="E129" s="1">
        <v>36.450000000000003</v>
      </c>
      <c r="F129" s="4">
        <v>8715</v>
      </c>
      <c r="G129" s="4">
        <v>0</v>
      </c>
      <c r="H129" s="4">
        <v>8715</v>
      </c>
      <c r="I129" s="5">
        <f>+VLOOKUP($C129,Hoja2!$A$2:$B$7,2,0)</f>
        <v>239.10159999999999</v>
      </c>
      <c r="J129" s="4">
        <v>6</v>
      </c>
      <c r="K129" s="2">
        <f t="shared" si="2"/>
        <v>233.10159999999999</v>
      </c>
      <c r="L129" s="2">
        <f t="shared" si="3"/>
        <v>8496.5533200000009</v>
      </c>
    </row>
    <row r="130" spans="1:12" ht="28.8" hidden="1" x14ac:dyDescent="0.3">
      <c r="A130" s="11" t="s">
        <v>138</v>
      </c>
      <c r="B130" s="1" t="s">
        <v>28</v>
      </c>
      <c r="C130" s="1" t="s">
        <v>13</v>
      </c>
      <c r="D130" s="3" t="s">
        <v>29</v>
      </c>
      <c r="E130" s="1">
        <v>4.59</v>
      </c>
      <c r="F130" s="4">
        <v>1333</v>
      </c>
      <c r="G130" s="4">
        <v>0</v>
      </c>
      <c r="H130" s="4">
        <v>1333</v>
      </c>
      <c r="I130" s="5">
        <f>+VLOOKUP($C130,Hoja2!$A$2:$B$7,2,0)</f>
        <v>290.10039999999998</v>
      </c>
      <c r="J130" s="4">
        <v>6</v>
      </c>
      <c r="K130" s="2">
        <f t="shared" si="2"/>
        <v>284.10039999999998</v>
      </c>
      <c r="L130" s="2">
        <f t="shared" si="3"/>
        <v>1304.0208359999999</v>
      </c>
    </row>
    <row r="131" spans="1:12" ht="28.8" hidden="1" x14ac:dyDescent="0.3">
      <c r="A131" s="11" t="s">
        <v>129</v>
      </c>
      <c r="B131" s="1" t="s">
        <v>28</v>
      </c>
      <c r="C131" s="1" t="s">
        <v>13</v>
      </c>
      <c r="D131" s="3" t="s">
        <v>29</v>
      </c>
      <c r="E131" s="1">
        <v>9.85</v>
      </c>
      <c r="F131" s="4">
        <v>2857</v>
      </c>
      <c r="G131" s="4">
        <v>0</v>
      </c>
      <c r="H131" s="4">
        <v>2857</v>
      </c>
      <c r="I131" s="5">
        <f>+VLOOKUP($C131,Hoja2!$A$2:$B$7,2,0)</f>
        <v>290.10039999999998</v>
      </c>
      <c r="J131" s="4">
        <v>6</v>
      </c>
      <c r="K131" s="2">
        <f t="shared" ref="K131:K194" si="4">+I131-J131</f>
        <v>284.10039999999998</v>
      </c>
      <c r="L131" s="2">
        <f t="shared" ref="L131:L194" si="5">+K131*E131</f>
        <v>2798.3889399999998</v>
      </c>
    </row>
    <row r="132" spans="1:12" ht="28.8" hidden="1" x14ac:dyDescent="0.3">
      <c r="A132" s="11" t="s">
        <v>126</v>
      </c>
      <c r="B132" s="1" t="s">
        <v>28</v>
      </c>
      <c r="C132" s="1" t="s">
        <v>13</v>
      </c>
      <c r="D132" s="3" t="s">
        <v>29</v>
      </c>
      <c r="E132" s="1">
        <v>9.52</v>
      </c>
      <c r="F132" s="4">
        <v>2762</v>
      </c>
      <c r="G132" s="4">
        <v>0</v>
      </c>
      <c r="H132" s="4">
        <v>2762</v>
      </c>
      <c r="I132" s="5">
        <f>+VLOOKUP($C132,Hoja2!$A$2:$B$7,2,0)</f>
        <v>290.10039999999998</v>
      </c>
      <c r="J132" s="4">
        <v>6</v>
      </c>
      <c r="K132" s="2">
        <f t="shared" si="4"/>
        <v>284.10039999999998</v>
      </c>
      <c r="L132" s="2">
        <f t="shared" si="5"/>
        <v>2704.6358079999995</v>
      </c>
    </row>
    <row r="133" spans="1:12" ht="28.8" hidden="1" x14ac:dyDescent="0.3">
      <c r="A133" s="11" t="s">
        <v>130</v>
      </c>
      <c r="B133" s="1" t="s">
        <v>28</v>
      </c>
      <c r="C133" s="1" t="s">
        <v>13</v>
      </c>
      <c r="D133" s="3" t="s">
        <v>29</v>
      </c>
      <c r="E133" s="1">
        <v>8.52</v>
      </c>
      <c r="F133" s="4">
        <v>2473</v>
      </c>
      <c r="G133" s="4">
        <v>0</v>
      </c>
      <c r="H133" s="4">
        <v>2473</v>
      </c>
      <c r="I133" s="5">
        <f>+VLOOKUP($C133,Hoja2!$A$2:$B$7,2,0)</f>
        <v>290.10039999999998</v>
      </c>
      <c r="J133" s="4">
        <v>6</v>
      </c>
      <c r="K133" s="2">
        <f t="shared" si="4"/>
        <v>284.10039999999998</v>
      </c>
      <c r="L133" s="2">
        <f t="shared" si="5"/>
        <v>2420.5354079999997</v>
      </c>
    </row>
    <row r="134" spans="1:12" ht="28.8" hidden="1" x14ac:dyDescent="0.3">
      <c r="A134" s="11" t="s">
        <v>133</v>
      </c>
      <c r="B134" s="1" t="s">
        <v>52</v>
      </c>
      <c r="C134" s="1" t="s">
        <v>11</v>
      </c>
      <c r="D134" s="3" t="s">
        <v>53</v>
      </c>
      <c r="E134" s="1">
        <v>11.92</v>
      </c>
      <c r="F134" s="4">
        <v>2849</v>
      </c>
      <c r="G134" s="4">
        <v>0</v>
      </c>
      <c r="H134" s="4">
        <v>2849</v>
      </c>
      <c r="I134" s="5">
        <f>+VLOOKUP($C134,Hoja2!$A$2:$B$7,2,0)</f>
        <v>239.10159999999999</v>
      </c>
      <c r="J134" s="4">
        <v>6</v>
      </c>
      <c r="K134" s="2">
        <f t="shared" si="4"/>
        <v>233.10159999999999</v>
      </c>
      <c r="L134" s="2">
        <f t="shared" si="5"/>
        <v>2778.5710719999997</v>
      </c>
    </row>
    <row r="135" spans="1:12" ht="28.8" hidden="1" x14ac:dyDescent="0.3">
      <c r="A135" s="11" t="s">
        <v>139</v>
      </c>
      <c r="B135" s="1" t="s">
        <v>52</v>
      </c>
      <c r="C135" s="1" t="s">
        <v>11</v>
      </c>
      <c r="D135" s="3" t="s">
        <v>53</v>
      </c>
      <c r="E135" s="1">
        <v>4.3499999999999996</v>
      </c>
      <c r="F135" s="4">
        <v>1040</v>
      </c>
      <c r="G135" s="4">
        <v>0</v>
      </c>
      <c r="H135" s="4">
        <v>1040</v>
      </c>
      <c r="I135" s="5">
        <f>+VLOOKUP($C135,Hoja2!$A$2:$B$7,2,0)</f>
        <v>239.10159999999999</v>
      </c>
      <c r="J135" s="4">
        <v>6</v>
      </c>
      <c r="K135" s="2">
        <f t="shared" si="4"/>
        <v>233.10159999999999</v>
      </c>
      <c r="L135" s="2">
        <f t="shared" si="5"/>
        <v>1013.9919599999998</v>
      </c>
    </row>
    <row r="136" spans="1:12" ht="28.8" hidden="1" x14ac:dyDescent="0.3">
      <c r="A136" s="11" t="s">
        <v>139</v>
      </c>
      <c r="B136" s="1" t="s">
        <v>52</v>
      </c>
      <c r="C136" s="1" t="s">
        <v>9</v>
      </c>
      <c r="D136" s="3" t="s">
        <v>53</v>
      </c>
      <c r="E136" s="1">
        <v>14.4</v>
      </c>
      <c r="F136" s="4">
        <v>3192</v>
      </c>
      <c r="G136" s="4">
        <v>0</v>
      </c>
      <c r="H136" s="4">
        <v>3192</v>
      </c>
      <c r="I136" s="5">
        <f>+VLOOKUP($C136,Hoja2!$A$2:$B$7,2,0)</f>
        <v>221.59520000000001</v>
      </c>
      <c r="J136" s="4">
        <v>6</v>
      </c>
      <c r="K136" s="2">
        <f t="shared" si="4"/>
        <v>215.59520000000001</v>
      </c>
      <c r="L136" s="2">
        <f t="shared" si="5"/>
        <v>3104.5708800000002</v>
      </c>
    </row>
    <row r="137" spans="1:12" ht="28.8" hidden="1" x14ac:dyDescent="0.3">
      <c r="A137" s="11" t="s">
        <v>128</v>
      </c>
      <c r="B137" s="1" t="s">
        <v>52</v>
      </c>
      <c r="C137" s="1" t="s">
        <v>11</v>
      </c>
      <c r="D137" s="3" t="s">
        <v>53</v>
      </c>
      <c r="E137" s="1">
        <v>12.37</v>
      </c>
      <c r="F137" s="4">
        <v>2957</v>
      </c>
      <c r="G137" s="4">
        <v>0</v>
      </c>
      <c r="H137" s="4">
        <v>2957</v>
      </c>
      <c r="I137" s="5">
        <f>+VLOOKUP($C137,Hoja2!$A$2:$B$7,2,0)</f>
        <v>239.10159999999999</v>
      </c>
      <c r="J137" s="4">
        <v>6</v>
      </c>
      <c r="K137" s="2">
        <f t="shared" si="4"/>
        <v>233.10159999999999</v>
      </c>
      <c r="L137" s="2">
        <f t="shared" si="5"/>
        <v>2883.4667919999997</v>
      </c>
    </row>
    <row r="138" spans="1:12" ht="28.8" hidden="1" x14ac:dyDescent="0.3">
      <c r="A138" s="11">
        <v>45608</v>
      </c>
      <c r="B138" s="1" t="s">
        <v>52</v>
      </c>
      <c r="C138" s="1" t="s">
        <v>13</v>
      </c>
      <c r="D138" s="3" t="s">
        <v>53</v>
      </c>
      <c r="E138" s="1">
        <v>12.07</v>
      </c>
      <c r="F138" s="4">
        <v>3500.4</v>
      </c>
      <c r="G138" s="4">
        <v>0</v>
      </c>
      <c r="H138" s="4">
        <v>3500.4</v>
      </c>
      <c r="I138" s="5">
        <f>+VLOOKUP($C138,Hoja2!$A$2:$B$7,2,0)</f>
        <v>290.10039999999998</v>
      </c>
      <c r="J138" s="4">
        <v>6</v>
      </c>
      <c r="K138" s="2">
        <f t="shared" si="4"/>
        <v>284.10039999999998</v>
      </c>
      <c r="L138" s="2">
        <f t="shared" si="5"/>
        <v>3429.0918279999996</v>
      </c>
    </row>
    <row r="139" spans="1:12" ht="28.8" hidden="1" x14ac:dyDescent="0.3">
      <c r="A139" s="11" t="s">
        <v>136</v>
      </c>
      <c r="B139" s="1" t="s">
        <v>52</v>
      </c>
      <c r="C139" s="1" t="s">
        <v>11</v>
      </c>
      <c r="D139" s="3" t="s">
        <v>53</v>
      </c>
      <c r="E139" s="1">
        <v>6.27</v>
      </c>
      <c r="F139" s="4">
        <v>1500</v>
      </c>
      <c r="G139" s="4">
        <v>0</v>
      </c>
      <c r="H139" s="4">
        <v>1500</v>
      </c>
      <c r="I139" s="5">
        <f>+VLOOKUP($C139,Hoja2!$A$2:$B$7,2,0)</f>
        <v>239.10159999999999</v>
      </c>
      <c r="J139" s="4">
        <v>6</v>
      </c>
      <c r="K139" s="2">
        <f t="shared" si="4"/>
        <v>233.10159999999999</v>
      </c>
      <c r="L139" s="2">
        <f t="shared" si="5"/>
        <v>1461.5470319999999</v>
      </c>
    </row>
    <row r="140" spans="1:12" ht="28.8" hidden="1" x14ac:dyDescent="0.3">
      <c r="A140" s="11" t="s">
        <v>126</v>
      </c>
      <c r="B140" s="1" t="s">
        <v>52</v>
      </c>
      <c r="C140" s="1" t="s">
        <v>11</v>
      </c>
      <c r="D140" s="3" t="s">
        <v>53</v>
      </c>
      <c r="E140" s="1">
        <v>15.27</v>
      </c>
      <c r="F140" s="4">
        <v>3651</v>
      </c>
      <c r="G140" s="4">
        <v>0</v>
      </c>
      <c r="H140" s="4">
        <v>3651</v>
      </c>
      <c r="I140" s="5">
        <f>+VLOOKUP($C140,Hoja2!$A$2:$B$7,2,0)</f>
        <v>239.10159999999999</v>
      </c>
      <c r="J140" s="4">
        <v>6</v>
      </c>
      <c r="K140" s="2">
        <f t="shared" si="4"/>
        <v>233.10159999999999</v>
      </c>
      <c r="L140" s="2">
        <f t="shared" si="5"/>
        <v>3559.4614319999996</v>
      </c>
    </row>
    <row r="141" spans="1:12" ht="28.8" hidden="1" x14ac:dyDescent="0.3">
      <c r="A141" s="11" t="s">
        <v>134</v>
      </c>
      <c r="B141" s="1" t="s">
        <v>52</v>
      </c>
      <c r="C141" s="1" t="s">
        <v>11</v>
      </c>
      <c r="D141" s="3" t="s">
        <v>53</v>
      </c>
      <c r="E141" s="1">
        <v>13.38</v>
      </c>
      <c r="F141" s="4">
        <v>3200</v>
      </c>
      <c r="G141" s="4">
        <v>0</v>
      </c>
      <c r="H141" s="4">
        <v>3200</v>
      </c>
      <c r="I141" s="5">
        <f>+VLOOKUP($C141,Hoja2!$A$2:$B$7,2,0)</f>
        <v>239.10159999999999</v>
      </c>
      <c r="J141" s="4">
        <v>6</v>
      </c>
      <c r="K141" s="2">
        <f t="shared" si="4"/>
        <v>233.10159999999999</v>
      </c>
      <c r="L141" s="2">
        <f t="shared" si="5"/>
        <v>3118.8994080000002</v>
      </c>
    </row>
    <row r="142" spans="1:12" ht="28.8" hidden="1" x14ac:dyDescent="0.3">
      <c r="A142" s="11" t="s">
        <v>138</v>
      </c>
      <c r="B142" s="1" t="s">
        <v>52</v>
      </c>
      <c r="C142" s="1" t="s">
        <v>11</v>
      </c>
      <c r="D142" s="3" t="s">
        <v>53</v>
      </c>
      <c r="E142" s="1">
        <v>9.89</v>
      </c>
      <c r="F142" s="4">
        <v>2364</v>
      </c>
      <c r="G142" s="4">
        <v>0</v>
      </c>
      <c r="H142" s="4">
        <v>2364</v>
      </c>
      <c r="I142" s="5">
        <f>+VLOOKUP($C142,Hoja2!$A$2:$B$7,2,0)</f>
        <v>239.10159999999999</v>
      </c>
      <c r="J142" s="4">
        <v>6</v>
      </c>
      <c r="K142" s="2">
        <f t="shared" si="4"/>
        <v>233.10159999999999</v>
      </c>
      <c r="L142" s="2">
        <f t="shared" si="5"/>
        <v>2305.374824</v>
      </c>
    </row>
    <row r="143" spans="1:12" ht="28.8" hidden="1" x14ac:dyDescent="0.3">
      <c r="A143" s="11" t="s">
        <v>134</v>
      </c>
      <c r="B143" s="1" t="s">
        <v>52</v>
      </c>
      <c r="C143" s="1" t="s">
        <v>11</v>
      </c>
      <c r="D143" s="3" t="s">
        <v>53</v>
      </c>
      <c r="E143" s="1">
        <v>12.13</v>
      </c>
      <c r="F143" s="4">
        <v>2900</v>
      </c>
      <c r="G143" s="4">
        <v>0</v>
      </c>
      <c r="H143" s="4">
        <v>2900</v>
      </c>
      <c r="I143" s="5">
        <f>+VLOOKUP($C143,Hoja2!$A$2:$B$7,2,0)</f>
        <v>239.10159999999999</v>
      </c>
      <c r="J143" s="4">
        <v>6</v>
      </c>
      <c r="K143" s="2">
        <f t="shared" si="4"/>
        <v>233.10159999999999</v>
      </c>
      <c r="L143" s="2">
        <f t="shared" si="5"/>
        <v>2827.5224080000003</v>
      </c>
    </row>
    <row r="144" spans="1:12" ht="28.8" hidden="1" x14ac:dyDescent="0.3">
      <c r="A144" s="11">
        <v>45394</v>
      </c>
      <c r="B144" s="1" t="s">
        <v>52</v>
      </c>
      <c r="C144" s="1" t="s">
        <v>11</v>
      </c>
      <c r="D144" s="3" t="s">
        <v>53</v>
      </c>
      <c r="E144" s="1">
        <v>12.55</v>
      </c>
      <c r="F144" s="4">
        <v>3000</v>
      </c>
      <c r="G144" s="4">
        <v>0</v>
      </c>
      <c r="H144" s="4">
        <v>3000</v>
      </c>
      <c r="I144" s="5">
        <f>+VLOOKUP($C144,Hoja2!$A$2:$B$7,2,0)</f>
        <v>239.10159999999999</v>
      </c>
      <c r="J144" s="4">
        <v>6</v>
      </c>
      <c r="K144" s="2">
        <f t="shared" si="4"/>
        <v>233.10159999999999</v>
      </c>
      <c r="L144" s="2">
        <f t="shared" si="5"/>
        <v>2925.42508</v>
      </c>
    </row>
    <row r="145" spans="1:12" ht="28.8" hidden="1" x14ac:dyDescent="0.3">
      <c r="A145" s="11">
        <v>45485</v>
      </c>
      <c r="B145" s="1" t="s">
        <v>52</v>
      </c>
      <c r="C145" s="1" t="s">
        <v>11</v>
      </c>
      <c r="D145" s="3" t="s">
        <v>53</v>
      </c>
      <c r="E145" s="1">
        <v>12.55</v>
      </c>
      <c r="F145" s="4">
        <v>3000</v>
      </c>
      <c r="G145" s="4">
        <v>0</v>
      </c>
      <c r="H145" s="4">
        <v>3000</v>
      </c>
      <c r="I145" s="5">
        <f>+VLOOKUP($C145,Hoja2!$A$2:$B$7,2,0)</f>
        <v>239.10159999999999</v>
      </c>
      <c r="J145" s="4">
        <v>6</v>
      </c>
      <c r="K145" s="2">
        <f t="shared" si="4"/>
        <v>233.10159999999999</v>
      </c>
      <c r="L145" s="2">
        <f t="shared" si="5"/>
        <v>2925.42508</v>
      </c>
    </row>
    <row r="146" spans="1:12" ht="28.8" hidden="1" x14ac:dyDescent="0.3">
      <c r="A146" s="11">
        <v>45485</v>
      </c>
      <c r="B146" s="1" t="s">
        <v>52</v>
      </c>
      <c r="C146" s="1" t="s">
        <v>11</v>
      </c>
      <c r="D146" s="3" t="s">
        <v>53</v>
      </c>
      <c r="E146" s="1">
        <v>16.809999999999999</v>
      </c>
      <c r="F146" s="4">
        <v>4019</v>
      </c>
      <c r="G146" s="4">
        <v>0</v>
      </c>
      <c r="H146" s="4">
        <v>4019</v>
      </c>
      <c r="I146" s="5">
        <f>+VLOOKUP($C146,Hoja2!$A$2:$B$7,2,0)</f>
        <v>239.10159999999999</v>
      </c>
      <c r="J146" s="4">
        <v>6</v>
      </c>
      <c r="K146" s="2">
        <f t="shared" si="4"/>
        <v>233.10159999999999</v>
      </c>
      <c r="L146" s="2">
        <f t="shared" si="5"/>
        <v>3918.4378959999995</v>
      </c>
    </row>
    <row r="147" spans="1:12" ht="28.8" hidden="1" x14ac:dyDescent="0.3">
      <c r="A147" s="11">
        <v>45516</v>
      </c>
      <c r="B147" s="1" t="s">
        <v>54</v>
      </c>
      <c r="C147" s="1" t="s">
        <v>13</v>
      </c>
      <c r="D147" s="3" t="s">
        <v>55</v>
      </c>
      <c r="E147" s="1">
        <v>17.239999999999998</v>
      </c>
      <c r="F147" s="4">
        <v>5000</v>
      </c>
      <c r="G147" s="4">
        <v>0</v>
      </c>
      <c r="H147" s="4">
        <v>5000</v>
      </c>
      <c r="I147" s="5">
        <f>+VLOOKUP($C147,Hoja2!$A$2:$B$7,2,0)</f>
        <v>290.10039999999998</v>
      </c>
      <c r="J147" s="4">
        <v>6</v>
      </c>
      <c r="K147" s="2">
        <f t="shared" si="4"/>
        <v>284.10039999999998</v>
      </c>
      <c r="L147" s="2">
        <f t="shared" si="5"/>
        <v>4897.890895999999</v>
      </c>
    </row>
    <row r="148" spans="1:12" ht="28.8" hidden="1" x14ac:dyDescent="0.3">
      <c r="A148" s="11">
        <v>45516</v>
      </c>
      <c r="B148" s="1" t="s">
        <v>54</v>
      </c>
      <c r="C148" s="1" t="s">
        <v>13</v>
      </c>
      <c r="D148" s="3" t="s">
        <v>55</v>
      </c>
      <c r="E148" s="1">
        <v>17.239999999999998</v>
      </c>
      <c r="F148" s="4">
        <v>5000</v>
      </c>
      <c r="G148" s="4">
        <v>0</v>
      </c>
      <c r="H148" s="4">
        <v>5000</v>
      </c>
      <c r="I148" s="5">
        <f>+VLOOKUP($C148,Hoja2!$A$2:$B$7,2,0)</f>
        <v>290.10039999999998</v>
      </c>
      <c r="J148" s="4">
        <v>6</v>
      </c>
      <c r="K148" s="2">
        <f t="shared" si="4"/>
        <v>284.10039999999998</v>
      </c>
      <c r="L148" s="2">
        <f t="shared" si="5"/>
        <v>4897.890895999999</v>
      </c>
    </row>
    <row r="149" spans="1:12" ht="28.8" hidden="1" x14ac:dyDescent="0.3">
      <c r="A149" s="11">
        <v>45363</v>
      </c>
      <c r="B149" s="1" t="s">
        <v>56</v>
      </c>
      <c r="C149" s="1" t="s">
        <v>13</v>
      </c>
      <c r="D149" s="3" t="s">
        <v>57</v>
      </c>
      <c r="E149" s="1">
        <v>7.72</v>
      </c>
      <c r="F149" s="4">
        <v>2240</v>
      </c>
      <c r="G149" s="4">
        <v>0</v>
      </c>
      <c r="H149" s="4">
        <v>2240</v>
      </c>
      <c r="I149" s="5">
        <f>+VLOOKUP($C149,Hoja2!$A$2:$B$7,2,0)</f>
        <v>290.10039999999998</v>
      </c>
      <c r="J149" s="4">
        <v>6</v>
      </c>
      <c r="K149" s="2">
        <f t="shared" si="4"/>
        <v>284.10039999999998</v>
      </c>
      <c r="L149" s="2">
        <f t="shared" si="5"/>
        <v>2193.2550879999999</v>
      </c>
    </row>
    <row r="150" spans="1:12" ht="28.8" hidden="1" x14ac:dyDescent="0.3">
      <c r="A150" s="11">
        <v>45485</v>
      </c>
      <c r="B150" s="1" t="s">
        <v>56</v>
      </c>
      <c r="C150" s="1" t="s">
        <v>21</v>
      </c>
      <c r="D150" s="3" t="s">
        <v>57</v>
      </c>
      <c r="E150" s="1">
        <v>9.5399999999999991</v>
      </c>
      <c r="F150" s="4">
        <v>2600</v>
      </c>
      <c r="G150" s="4">
        <v>0</v>
      </c>
      <c r="H150" s="4">
        <v>2600</v>
      </c>
      <c r="I150" s="5">
        <f>+VLOOKUP($C150,Hoja2!$A$2:$B$7,2,0)</f>
        <v>272.50659999999999</v>
      </c>
      <c r="J150" s="4">
        <v>6</v>
      </c>
      <c r="K150" s="2">
        <f t="shared" si="4"/>
        <v>266.50659999999999</v>
      </c>
      <c r="L150" s="2">
        <f t="shared" si="5"/>
        <v>2542.4729639999996</v>
      </c>
    </row>
    <row r="151" spans="1:12" ht="28.8" hidden="1" x14ac:dyDescent="0.3">
      <c r="A151" s="11">
        <v>45608</v>
      </c>
      <c r="B151" s="1" t="s">
        <v>56</v>
      </c>
      <c r="C151" s="1" t="s">
        <v>21</v>
      </c>
      <c r="D151" s="3" t="s">
        <v>57</v>
      </c>
      <c r="E151" s="1">
        <v>2.2000000000000002</v>
      </c>
      <c r="F151" s="4">
        <v>600</v>
      </c>
      <c r="G151" s="4">
        <v>0</v>
      </c>
      <c r="H151" s="4">
        <v>600</v>
      </c>
      <c r="I151" s="5">
        <f>+VLOOKUP($C151,Hoja2!$A$2:$B$7,2,0)</f>
        <v>272.50659999999999</v>
      </c>
      <c r="J151" s="4">
        <v>6</v>
      </c>
      <c r="K151" s="2">
        <f t="shared" si="4"/>
        <v>266.50659999999999</v>
      </c>
      <c r="L151" s="2">
        <f t="shared" si="5"/>
        <v>586.31452000000002</v>
      </c>
    </row>
    <row r="152" spans="1:12" ht="28.8" hidden="1" x14ac:dyDescent="0.3">
      <c r="A152" s="11">
        <v>45638</v>
      </c>
      <c r="B152" s="1" t="s">
        <v>56</v>
      </c>
      <c r="C152" s="1" t="s">
        <v>21</v>
      </c>
      <c r="D152" s="3" t="s">
        <v>57</v>
      </c>
      <c r="E152" s="1">
        <v>3.71</v>
      </c>
      <c r="F152" s="4">
        <v>1010</v>
      </c>
      <c r="G152" s="4">
        <v>0</v>
      </c>
      <c r="H152" s="4">
        <v>1010</v>
      </c>
      <c r="I152" s="5">
        <f>+VLOOKUP($C152,Hoja2!$A$2:$B$7,2,0)</f>
        <v>272.50659999999999</v>
      </c>
      <c r="J152" s="4">
        <v>6</v>
      </c>
      <c r="K152" s="2">
        <f t="shared" si="4"/>
        <v>266.50659999999999</v>
      </c>
      <c r="L152" s="2">
        <f t="shared" si="5"/>
        <v>988.73948599999994</v>
      </c>
    </row>
    <row r="153" spans="1:12" ht="28.8" hidden="1" x14ac:dyDescent="0.3">
      <c r="A153" s="11">
        <v>45363</v>
      </c>
      <c r="B153" s="1" t="s">
        <v>56</v>
      </c>
      <c r="C153" s="1" t="s">
        <v>21</v>
      </c>
      <c r="D153" s="3" t="s">
        <v>57</v>
      </c>
      <c r="E153" s="1">
        <v>9.36</v>
      </c>
      <c r="F153" s="4">
        <v>2550</v>
      </c>
      <c r="G153" s="4">
        <v>0</v>
      </c>
      <c r="H153" s="4">
        <v>2550</v>
      </c>
      <c r="I153" s="5">
        <f>+VLOOKUP($C153,Hoja2!$A$2:$B$7,2,0)</f>
        <v>272.50659999999999</v>
      </c>
      <c r="J153" s="4">
        <v>6</v>
      </c>
      <c r="K153" s="2">
        <f t="shared" si="4"/>
        <v>266.50659999999999</v>
      </c>
      <c r="L153" s="2">
        <f t="shared" si="5"/>
        <v>2494.5017759999996</v>
      </c>
    </row>
    <row r="154" spans="1:12" ht="28.8" hidden="1" x14ac:dyDescent="0.3">
      <c r="A154" s="11">
        <v>45608</v>
      </c>
      <c r="B154" s="1" t="s">
        <v>56</v>
      </c>
      <c r="C154" s="1" t="s">
        <v>21</v>
      </c>
      <c r="D154" s="3" t="s">
        <v>57</v>
      </c>
      <c r="E154" s="1">
        <v>3.67</v>
      </c>
      <c r="F154" s="4">
        <v>1000</v>
      </c>
      <c r="G154" s="4">
        <v>0</v>
      </c>
      <c r="H154" s="4">
        <v>1000</v>
      </c>
      <c r="I154" s="5">
        <f>+VLOOKUP($C154,Hoja2!$A$2:$B$7,2,0)</f>
        <v>272.50659999999999</v>
      </c>
      <c r="J154" s="4">
        <v>6</v>
      </c>
      <c r="K154" s="2">
        <f t="shared" si="4"/>
        <v>266.50659999999999</v>
      </c>
      <c r="L154" s="2">
        <f t="shared" si="5"/>
        <v>978.07922199999996</v>
      </c>
    </row>
    <row r="155" spans="1:12" ht="28.8" hidden="1" x14ac:dyDescent="0.3">
      <c r="A155" s="11" t="s">
        <v>138</v>
      </c>
      <c r="B155" s="1" t="s">
        <v>30</v>
      </c>
      <c r="C155" s="1" t="s">
        <v>11</v>
      </c>
      <c r="D155" s="3" t="s">
        <v>31</v>
      </c>
      <c r="E155" s="1">
        <v>37.64</v>
      </c>
      <c r="F155" s="4">
        <v>9000</v>
      </c>
      <c r="G155" s="4">
        <v>0</v>
      </c>
      <c r="H155" s="4">
        <v>9000</v>
      </c>
      <c r="I155" s="5">
        <f>+VLOOKUP($C155,Hoja2!$A$2:$B$7,2,0)</f>
        <v>239.10159999999999</v>
      </c>
      <c r="J155" s="4">
        <v>6</v>
      </c>
      <c r="K155" s="2">
        <f t="shared" si="4"/>
        <v>233.10159999999999</v>
      </c>
      <c r="L155" s="2">
        <f t="shared" si="5"/>
        <v>8773.9442239999989</v>
      </c>
    </row>
    <row r="156" spans="1:12" ht="28.8" hidden="1" x14ac:dyDescent="0.3">
      <c r="A156" s="11" t="s">
        <v>134</v>
      </c>
      <c r="B156" s="1" t="s">
        <v>30</v>
      </c>
      <c r="C156" s="1" t="s">
        <v>9</v>
      </c>
      <c r="D156" s="3" t="s">
        <v>31</v>
      </c>
      <c r="E156" s="1">
        <v>39.119999999999997</v>
      </c>
      <c r="F156" s="4">
        <v>8668</v>
      </c>
      <c r="G156" s="4">
        <v>0</v>
      </c>
      <c r="H156" s="4">
        <v>8668</v>
      </c>
      <c r="I156" s="5">
        <f>+VLOOKUP($C156,Hoja2!$A$2:$B$7,2,0)</f>
        <v>221.59520000000001</v>
      </c>
      <c r="J156" s="4">
        <v>6</v>
      </c>
      <c r="K156" s="2">
        <f t="shared" si="4"/>
        <v>215.59520000000001</v>
      </c>
      <c r="L156" s="2">
        <f t="shared" si="5"/>
        <v>8434.0842240000002</v>
      </c>
    </row>
    <row r="157" spans="1:12" ht="28.8" hidden="1" x14ac:dyDescent="0.3">
      <c r="A157" s="11" t="s">
        <v>130</v>
      </c>
      <c r="B157" s="1" t="s">
        <v>30</v>
      </c>
      <c r="C157" s="1" t="s">
        <v>9</v>
      </c>
      <c r="D157" s="3" t="s">
        <v>31</v>
      </c>
      <c r="E157" s="1">
        <v>45.11</v>
      </c>
      <c r="F157" s="4">
        <v>9996</v>
      </c>
      <c r="G157" s="4">
        <v>0</v>
      </c>
      <c r="H157" s="4">
        <v>9996</v>
      </c>
      <c r="I157" s="5">
        <f>+VLOOKUP($C157,Hoja2!$A$2:$B$7,2,0)</f>
        <v>221.59520000000001</v>
      </c>
      <c r="J157" s="4">
        <v>6</v>
      </c>
      <c r="K157" s="2">
        <f t="shared" si="4"/>
        <v>215.59520000000001</v>
      </c>
      <c r="L157" s="2">
        <f t="shared" si="5"/>
        <v>9725.4994719999995</v>
      </c>
    </row>
    <row r="158" spans="1:12" ht="28.8" hidden="1" x14ac:dyDescent="0.3">
      <c r="A158" s="11" t="s">
        <v>139</v>
      </c>
      <c r="B158" s="1" t="s">
        <v>58</v>
      </c>
      <c r="C158" s="1" t="s">
        <v>13</v>
      </c>
      <c r="D158" s="3" t="s">
        <v>59</v>
      </c>
      <c r="E158" s="1">
        <v>3.45</v>
      </c>
      <c r="F158" s="4">
        <v>1000</v>
      </c>
      <c r="G158" s="4">
        <v>0</v>
      </c>
      <c r="H158" s="4">
        <v>1000</v>
      </c>
      <c r="I158" s="5">
        <f>+VLOOKUP($C158,Hoja2!$A$2:$B$7,2,0)</f>
        <v>290.10039999999998</v>
      </c>
      <c r="J158" s="4">
        <v>6</v>
      </c>
      <c r="K158" s="2">
        <f t="shared" si="4"/>
        <v>284.10039999999998</v>
      </c>
      <c r="L158" s="2">
        <f t="shared" si="5"/>
        <v>980.14638000000002</v>
      </c>
    </row>
    <row r="159" spans="1:12" hidden="1" x14ac:dyDescent="0.3">
      <c r="A159" s="11" t="s">
        <v>140</v>
      </c>
      <c r="B159" s="1" t="s">
        <v>58</v>
      </c>
      <c r="C159" s="1" t="s">
        <v>9</v>
      </c>
      <c r="D159" s="3" t="s">
        <v>59</v>
      </c>
      <c r="E159" s="1">
        <v>67.69</v>
      </c>
      <c r="F159" s="4">
        <v>15000</v>
      </c>
      <c r="G159" s="4">
        <v>0</v>
      </c>
      <c r="H159" s="4">
        <v>15000</v>
      </c>
      <c r="I159" s="5">
        <f>+VLOOKUP($C159,Hoja2!$A$2:$B$7,2,0)</f>
        <v>221.59520000000001</v>
      </c>
      <c r="J159" s="4">
        <v>6</v>
      </c>
      <c r="K159" s="2">
        <f t="shared" si="4"/>
        <v>215.59520000000001</v>
      </c>
      <c r="L159" s="2">
        <f t="shared" si="5"/>
        <v>14593.639088</v>
      </c>
    </row>
    <row r="160" spans="1:12" ht="28.8" hidden="1" x14ac:dyDescent="0.3">
      <c r="A160" s="11">
        <v>45334</v>
      </c>
      <c r="B160" s="1" t="s">
        <v>60</v>
      </c>
      <c r="C160" s="1" t="s">
        <v>13</v>
      </c>
      <c r="D160" s="3" t="s">
        <v>61</v>
      </c>
      <c r="E160" s="1">
        <v>18.27</v>
      </c>
      <c r="F160" s="4">
        <v>5300</v>
      </c>
      <c r="G160" s="4">
        <v>0</v>
      </c>
      <c r="H160" s="4">
        <v>5300</v>
      </c>
      <c r="I160" s="5">
        <f>+VLOOKUP($C160,Hoja2!$A$2:$B$7,2,0)</f>
        <v>290.10039999999998</v>
      </c>
      <c r="J160" s="4">
        <v>6</v>
      </c>
      <c r="K160" s="2">
        <f t="shared" si="4"/>
        <v>284.10039999999998</v>
      </c>
      <c r="L160" s="2">
        <f t="shared" si="5"/>
        <v>5190.5143079999998</v>
      </c>
    </row>
    <row r="161" spans="1:12" ht="28.8" hidden="1" x14ac:dyDescent="0.3">
      <c r="A161" s="11" t="s">
        <v>131</v>
      </c>
      <c r="B161" s="1" t="s">
        <v>60</v>
      </c>
      <c r="C161" s="1" t="s">
        <v>9</v>
      </c>
      <c r="D161" s="3" t="s">
        <v>61</v>
      </c>
      <c r="E161" s="1">
        <v>4.51</v>
      </c>
      <c r="F161" s="4">
        <v>1000</v>
      </c>
      <c r="G161" s="4">
        <v>0</v>
      </c>
      <c r="H161" s="4">
        <v>1000</v>
      </c>
      <c r="I161" s="5">
        <f>+VLOOKUP($C161,Hoja2!$A$2:$B$7,2,0)</f>
        <v>221.59520000000001</v>
      </c>
      <c r="J161" s="4">
        <v>6</v>
      </c>
      <c r="K161" s="2">
        <f t="shared" si="4"/>
        <v>215.59520000000001</v>
      </c>
      <c r="L161" s="2">
        <f t="shared" si="5"/>
        <v>972.33435199999997</v>
      </c>
    </row>
    <row r="162" spans="1:12" ht="28.8" hidden="1" x14ac:dyDescent="0.3">
      <c r="A162" s="11" t="s">
        <v>126</v>
      </c>
      <c r="B162" s="1" t="s">
        <v>60</v>
      </c>
      <c r="C162" s="1" t="s">
        <v>13</v>
      </c>
      <c r="D162" s="3" t="s">
        <v>61</v>
      </c>
      <c r="E162" s="1">
        <v>21.72</v>
      </c>
      <c r="F162" s="4">
        <v>6300</v>
      </c>
      <c r="G162" s="4">
        <v>0</v>
      </c>
      <c r="H162" s="4">
        <v>6300</v>
      </c>
      <c r="I162" s="5">
        <f>+VLOOKUP($C162,Hoja2!$A$2:$B$7,2,0)</f>
        <v>290.10039999999998</v>
      </c>
      <c r="J162" s="4">
        <v>6</v>
      </c>
      <c r="K162" s="2">
        <f t="shared" si="4"/>
        <v>284.10039999999998</v>
      </c>
      <c r="L162" s="2">
        <f t="shared" si="5"/>
        <v>6170.660687999999</v>
      </c>
    </row>
    <row r="163" spans="1:12" ht="28.8" hidden="1" x14ac:dyDescent="0.3">
      <c r="A163" s="11">
        <v>45424</v>
      </c>
      <c r="B163" s="1" t="s">
        <v>60</v>
      </c>
      <c r="C163" s="1" t="s">
        <v>13</v>
      </c>
      <c r="D163" s="3" t="s">
        <v>61</v>
      </c>
      <c r="E163" s="1">
        <v>15.17</v>
      </c>
      <c r="F163" s="4">
        <v>4400</v>
      </c>
      <c r="G163" s="4">
        <v>0</v>
      </c>
      <c r="H163" s="4">
        <v>4400</v>
      </c>
      <c r="I163" s="5">
        <f>+VLOOKUP($C163,Hoja2!$A$2:$B$7,2,0)</f>
        <v>290.10039999999998</v>
      </c>
      <c r="J163" s="4">
        <v>6</v>
      </c>
      <c r="K163" s="2">
        <f t="shared" si="4"/>
        <v>284.10039999999998</v>
      </c>
      <c r="L163" s="2">
        <f t="shared" si="5"/>
        <v>4309.8030679999993</v>
      </c>
    </row>
    <row r="164" spans="1:12" ht="28.8" hidden="1" x14ac:dyDescent="0.3">
      <c r="A164" s="11">
        <v>45638</v>
      </c>
      <c r="B164" s="1" t="s">
        <v>60</v>
      </c>
      <c r="C164" s="1" t="s">
        <v>13</v>
      </c>
      <c r="D164" s="3" t="s">
        <v>61</v>
      </c>
      <c r="E164" s="1">
        <v>21.72</v>
      </c>
      <c r="F164" s="4">
        <v>6300</v>
      </c>
      <c r="G164" s="4">
        <v>0</v>
      </c>
      <c r="H164" s="4">
        <v>6300</v>
      </c>
      <c r="I164" s="5">
        <f>+VLOOKUP($C164,Hoja2!$A$2:$B$7,2,0)</f>
        <v>290.10039999999998</v>
      </c>
      <c r="J164" s="4">
        <v>6</v>
      </c>
      <c r="K164" s="2">
        <f t="shared" si="4"/>
        <v>284.10039999999998</v>
      </c>
      <c r="L164" s="2">
        <f t="shared" si="5"/>
        <v>6170.660687999999</v>
      </c>
    </row>
    <row r="165" spans="1:12" ht="28.8" hidden="1" x14ac:dyDescent="0.3">
      <c r="A165" s="11">
        <v>45394</v>
      </c>
      <c r="B165" s="1" t="s">
        <v>60</v>
      </c>
      <c r="C165" s="1" t="s">
        <v>13</v>
      </c>
      <c r="D165" s="3" t="s">
        <v>61</v>
      </c>
      <c r="E165" s="1">
        <v>18.27</v>
      </c>
      <c r="F165" s="4">
        <v>5300</v>
      </c>
      <c r="G165" s="4">
        <v>0</v>
      </c>
      <c r="H165" s="4">
        <v>5300</v>
      </c>
      <c r="I165" s="5">
        <f>+VLOOKUP($C165,Hoja2!$A$2:$B$7,2,0)</f>
        <v>290.10039999999998</v>
      </c>
      <c r="J165" s="4">
        <v>6</v>
      </c>
      <c r="K165" s="2">
        <f t="shared" si="4"/>
        <v>284.10039999999998</v>
      </c>
      <c r="L165" s="2">
        <f t="shared" si="5"/>
        <v>5190.5143079999998</v>
      </c>
    </row>
    <row r="166" spans="1:12" ht="28.8" hidden="1" x14ac:dyDescent="0.3">
      <c r="A166" s="11" t="s">
        <v>139</v>
      </c>
      <c r="B166" s="1" t="s">
        <v>60</v>
      </c>
      <c r="C166" s="1" t="s">
        <v>11</v>
      </c>
      <c r="D166" s="3" t="s">
        <v>61</v>
      </c>
      <c r="E166" s="1">
        <v>5.86</v>
      </c>
      <c r="F166" s="4">
        <v>1400</v>
      </c>
      <c r="G166" s="4">
        <v>0</v>
      </c>
      <c r="H166" s="4">
        <v>1400</v>
      </c>
      <c r="I166" s="5">
        <f>+VLOOKUP($C166,Hoja2!$A$2:$B$7,2,0)</f>
        <v>239.10159999999999</v>
      </c>
      <c r="J166" s="4">
        <v>6</v>
      </c>
      <c r="K166" s="2">
        <f t="shared" si="4"/>
        <v>233.10159999999999</v>
      </c>
      <c r="L166" s="2">
        <f t="shared" si="5"/>
        <v>1365.9753760000001</v>
      </c>
    </row>
    <row r="167" spans="1:12" ht="28.8" hidden="1" x14ac:dyDescent="0.3">
      <c r="A167" s="11">
        <v>45424</v>
      </c>
      <c r="B167" s="1" t="s">
        <v>62</v>
      </c>
      <c r="C167" s="1" t="s">
        <v>13</v>
      </c>
      <c r="D167" s="3" t="s">
        <v>63</v>
      </c>
      <c r="E167" s="1">
        <v>29.3</v>
      </c>
      <c r="F167" s="4">
        <v>8500</v>
      </c>
      <c r="G167" s="4">
        <v>0</v>
      </c>
      <c r="H167" s="4">
        <v>8500</v>
      </c>
      <c r="I167" s="5">
        <f>+VLOOKUP($C167,Hoja2!$A$2:$B$7,2,0)</f>
        <v>290.10039999999998</v>
      </c>
      <c r="J167" s="4">
        <v>6</v>
      </c>
      <c r="K167" s="2">
        <f t="shared" si="4"/>
        <v>284.10039999999998</v>
      </c>
      <c r="L167" s="2">
        <f t="shared" si="5"/>
        <v>8324.1417199999996</v>
      </c>
    </row>
    <row r="168" spans="1:12" ht="28.8" hidden="1" x14ac:dyDescent="0.3">
      <c r="A168" s="11">
        <v>45334</v>
      </c>
      <c r="B168" s="1" t="s">
        <v>62</v>
      </c>
      <c r="C168" s="1" t="s">
        <v>11</v>
      </c>
      <c r="D168" s="3" t="s">
        <v>63</v>
      </c>
      <c r="E168" s="1">
        <v>16.73</v>
      </c>
      <c r="F168" s="4">
        <v>4000</v>
      </c>
      <c r="G168" s="4">
        <v>0</v>
      </c>
      <c r="H168" s="4">
        <v>4000</v>
      </c>
      <c r="I168" s="5">
        <f>+VLOOKUP($C168,Hoja2!$A$2:$B$7,2,0)</f>
        <v>239.10159999999999</v>
      </c>
      <c r="J168" s="4">
        <v>6</v>
      </c>
      <c r="K168" s="2">
        <f t="shared" si="4"/>
        <v>233.10159999999999</v>
      </c>
      <c r="L168" s="2">
        <f t="shared" si="5"/>
        <v>3899.7897680000001</v>
      </c>
    </row>
    <row r="169" spans="1:12" ht="28.8" hidden="1" x14ac:dyDescent="0.3">
      <c r="A169" s="11" t="s">
        <v>131</v>
      </c>
      <c r="B169" s="1" t="s">
        <v>62</v>
      </c>
      <c r="C169" s="1" t="s">
        <v>11</v>
      </c>
      <c r="D169" s="3" t="s">
        <v>63</v>
      </c>
      <c r="E169" s="1">
        <v>8.36</v>
      </c>
      <c r="F169" s="4">
        <v>2000</v>
      </c>
      <c r="G169" s="4">
        <v>0</v>
      </c>
      <c r="H169" s="4">
        <v>2000</v>
      </c>
      <c r="I169" s="5">
        <f>+VLOOKUP($C169,Hoja2!$A$2:$B$7,2,0)</f>
        <v>239.10159999999999</v>
      </c>
      <c r="J169" s="4">
        <v>6</v>
      </c>
      <c r="K169" s="2">
        <f t="shared" si="4"/>
        <v>233.10159999999999</v>
      </c>
      <c r="L169" s="2">
        <f t="shared" si="5"/>
        <v>1948.7293759999998</v>
      </c>
    </row>
    <row r="170" spans="1:12" ht="28.8" hidden="1" x14ac:dyDescent="0.3">
      <c r="A170" s="11" t="s">
        <v>141</v>
      </c>
      <c r="B170" s="1" t="s">
        <v>62</v>
      </c>
      <c r="C170" s="1" t="s">
        <v>9</v>
      </c>
      <c r="D170" s="3" t="s">
        <v>63</v>
      </c>
      <c r="E170" s="1">
        <v>13.54</v>
      </c>
      <c r="F170" s="4">
        <v>3000</v>
      </c>
      <c r="G170" s="4">
        <v>0</v>
      </c>
      <c r="H170" s="4">
        <v>3000</v>
      </c>
      <c r="I170" s="5">
        <f>+VLOOKUP($C170,Hoja2!$A$2:$B$7,2,0)</f>
        <v>221.59520000000001</v>
      </c>
      <c r="J170" s="4">
        <v>6</v>
      </c>
      <c r="K170" s="2">
        <f t="shared" si="4"/>
        <v>215.59520000000001</v>
      </c>
      <c r="L170" s="2">
        <f t="shared" si="5"/>
        <v>2919.1590080000001</v>
      </c>
    </row>
    <row r="171" spans="1:12" ht="28.8" hidden="1" x14ac:dyDescent="0.3">
      <c r="A171" s="11">
        <v>45547</v>
      </c>
      <c r="B171" s="1" t="s">
        <v>62</v>
      </c>
      <c r="C171" s="1" t="s">
        <v>11</v>
      </c>
      <c r="D171" s="3" t="s">
        <v>63</v>
      </c>
      <c r="E171" s="1">
        <v>10.46</v>
      </c>
      <c r="F171" s="4">
        <v>2500</v>
      </c>
      <c r="G171" s="4">
        <v>0</v>
      </c>
      <c r="H171" s="4">
        <v>2500</v>
      </c>
      <c r="I171" s="5">
        <f>+VLOOKUP($C171,Hoja2!$A$2:$B$7,2,0)</f>
        <v>239.10159999999999</v>
      </c>
      <c r="J171" s="4">
        <v>6</v>
      </c>
      <c r="K171" s="2">
        <f t="shared" si="4"/>
        <v>233.10159999999999</v>
      </c>
      <c r="L171" s="2">
        <f t="shared" si="5"/>
        <v>2438.2427360000001</v>
      </c>
    </row>
    <row r="172" spans="1:12" ht="28.8" hidden="1" x14ac:dyDescent="0.3">
      <c r="A172" s="11">
        <v>45608</v>
      </c>
      <c r="B172" s="1" t="s">
        <v>62</v>
      </c>
      <c r="C172" s="1" t="s">
        <v>9</v>
      </c>
      <c r="D172" s="3" t="s">
        <v>63</v>
      </c>
      <c r="E172" s="1">
        <v>18.05</v>
      </c>
      <c r="F172" s="4">
        <v>4000</v>
      </c>
      <c r="G172" s="4">
        <v>0</v>
      </c>
      <c r="H172" s="4">
        <v>4000</v>
      </c>
      <c r="I172" s="5">
        <f>+VLOOKUP($C172,Hoja2!$A$2:$B$7,2,0)</f>
        <v>221.59520000000001</v>
      </c>
      <c r="J172" s="4">
        <v>6</v>
      </c>
      <c r="K172" s="2">
        <f t="shared" si="4"/>
        <v>215.59520000000001</v>
      </c>
      <c r="L172" s="2">
        <f t="shared" si="5"/>
        <v>3891.4933600000004</v>
      </c>
    </row>
    <row r="173" spans="1:12" ht="28.8" hidden="1" x14ac:dyDescent="0.3">
      <c r="A173" s="11" t="s">
        <v>134</v>
      </c>
      <c r="B173" s="1" t="s">
        <v>62</v>
      </c>
      <c r="C173" s="1" t="s">
        <v>9</v>
      </c>
      <c r="D173" s="3" t="s">
        <v>63</v>
      </c>
      <c r="E173" s="1">
        <v>22.56</v>
      </c>
      <c r="F173" s="4">
        <v>5000</v>
      </c>
      <c r="G173" s="4">
        <v>0</v>
      </c>
      <c r="H173" s="4">
        <v>5000</v>
      </c>
      <c r="I173" s="5">
        <f>+VLOOKUP($C173,Hoja2!$A$2:$B$7,2,0)</f>
        <v>221.59520000000001</v>
      </c>
      <c r="J173" s="4">
        <v>6</v>
      </c>
      <c r="K173" s="2">
        <f t="shared" si="4"/>
        <v>215.59520000000001</v>
      </c>
      <c r="L173" s="2">
        <f t="shared" si="5"/>
        <v>4863.8277120000002</v>
      </c>
    </row>
    <row r="174" spans="1:12" ht="28.8" hidden="1" x14ac:dyDescent="0.3">
      <c r="A174" s="11">
        <v>45303</v>
      </c>
      <c r="B174" s="1" t="s">
        <v>62</v>
      </c>
      <c r="C174" s="1" t="s">
        <v>9</v>
      </c>
      <c r="D174" s="3" t="s">
        <v>63</v>
      </c>
      <c r="E174" s="1">
        <v>4.51</v>
      </c>
      <c r="F174" s="4">
        <v>1000</v>
      </c>
      <c r="G174" s="4">
        <v>0</v>
      </c>
      <c r="H174" s="4">
        <v>1000</v>
      </c>
      <c r="I174" s="5">
        <f>+VLOOKUP($C174,Hoja2!$A$2:$B$7,2,0)</f>
        <v>221.59520000000001</v>
      </c>
      <c r="J174" s="4">
        <v>6</v>
      </c>
      <c r="K174" s="2">
        <f t="shared" si="4"/>
        <v>215.59520000000001</v>
      </c>
      <c r="L174" s="2">
        <f t="shared" si="5"/>
        <v>972.33435199999997</v>
      </c>
    </row>
    <row r="175" spans="1:12" ht="28.8" hidden="1" x14ac:dyDescent="0.3">
      <c r="A175" s="11">
        <v>45394</v>
      </c>
      <c r="B175" s="1" t="s">
        <v>62</v>
      </c>
      <c r="C175" s="1" t="s">
        <v>11</v>
      </c>
      <c r="D175" s="3" t="s">
        <v>63</v>
      </c>
      <c r="E175" s="1">
        <v>4.18</v>
      </c>
      <c r="F175" s="4">
        <v>1000</v>
      </c>
      <c r="G175" s="4">
        <v>0</v>
      </c>
      <c r="H175" s="4">
        <v>1000</v>
      </c>
      <c r="I175" s="5">
        <f>+VLOOKUP($C175,Hoja2!$A$2:$B$7,2,0)</f>
        <v>239.10159999999999</v>
      </c>
      <c r="J175" s="4">
        <v>6</v>
      </c>
      <c r="K175" s="2">
        <f t="shared" si="4"/>
        <v>233.10159999999999</v>
      </c>
      <c r="L175" s="2">
        <f t="shared" si="5"/>
        <v>974.36468799999989</v>
      </c>
    </row>
    <row r="176" spans="1:12" ht="28.8" hidden="1" x14ac:dyDescent="0.3">
      <c r="A176" s="11" t="s">
        <v>127</v>
      </c>
      <c r="B176" s="1" t="s">
        <v>62</v>
      </c>
      <c r="C176" s="1" t="s">
        <v>11</v>
      </c>
      <c r="D176" s="3" t="s">
        <v>63</v>
      </c>
      <c r="E176" s="1">
        <v>6.27</v>
      </c>
      <c r="F176" s="4">
        <v>1500</v>
      </c>
      <c r="G176" s="4">
        <v>0</v>
      </c>
      <c r="H176" s="4">
        <v>1500</v>
      </c>
      <c r="I176" s="5">
        <f>+VLOOKUP($C176,Hoja2!$A$2:$B$7,2,0)</f>
        <v>239.10159999999999</v>
      </c>
      <c r="J176" s="4">
        <v>6</v>
      </c>
      <c r="K176" s="2">
        <f t="shared" si="4"/>
        <v>233.10159999999999</v>
      </c>
      <c r="L176" s="2">
        <f t="shared" si="5"/>
        <v>1461.5470319999999</v>
      </c>
    </row>
    <row r="177" spans="1:12" ht="28.8" hidden="1" x14ac:dyDescent="0.3">
      <c r="A177" s="11" t="s">
        <v>142</v>
      </c>
      <c r="B177" s="1" t="s">
        <v>62</v>
      </c>
      <c r="C177" s="1" t="s">
        <v>11</v>
      </c>
      <c r="D177" s="3" t="s">
        <v>63</v>
      </c>
      <c r="E177" s="1">
        <v>6.27</v>
      </c>
      <c r="F177" s="4">
        <v>1500</v>
      </c>
      <c r="G177" s="4">
        <v>0</v>
      </c>
      <c r="H177" s="4">
        <v>1500</v>
      </c>
      <c r="I177" s="5">
        <f>+VLOOKUP($C177,Hoja2!$A$2:$B$7,2,0)</f>
        <v>239.10159999999999</v>
      </c>
      <c r="J177" s="4">
        <v>6</v>
      </c>
      <c r="K177" s="2">
        <f t="shared" si="4"/>
        <v>233.10159999999999</v>
      </c>
      <c r="L177" s="2">
        <f t="shared" si="5"/>
        <v>1461.5470319999999</v>
      </c>
    </row>
    <row r="178" spans="1:12" ht="28.8" hidden="1" x14ac:dyDescent="0.3">
      <c r="A178" s="11">
        <v>45485</v>
      </c>
      <c r="B178" s="1" t="s">
        <v>62</v>
      </c>
      <c r="C178" s="1" t="s">
        <v>9</v>
      </c>
      <c r="D178" s="3" t="s">
        <v>63</v>
      </c>
      <c r="E178" s="1">
        <v>9.0299999999999994</v>
      </c>
      <c r="F178" s="4">
        <v>2000</v>
      </c>
      <c r="G178" s="4">
        <v>0</v>
      </c>
      <c r="H178" s="4">
        <v>2000</v>
      </c>
      <c r="I178" s="5">
        <f>+VLOOKUP($C178,Hoja2!$A$2:$B$7,2,0)</f>
        <v>221.59520000000001</v>
      </c>
      <c r="J178" s="4">
        <v>6</v>
      </c>
      <c r="K178" s="2">
        <f t="shared" si="4"/>
        <v>215.59520000000001</v>
      </c>
      <c r="L178" s="2">
        <f t="shared" si="5"/>
        <v>1946.824656</v>
      </c>
    </row>
    <row r="179" spans="1:12" ht="43.2" hidden="1" x14ac:dyDescent="0.3">
      <c r="A179" s="11" t="s">
        <v>131</v>
      </c>
      <c r="B179" s="1" t="s">
        <v>64</v>
      </c>
      <c r="C179" s="1" t="s">
        <v>11</v>
      </c>
      <c r="D179" s="3" t="s">
        <v>65</v>
      </c>
      <c r="E179" s="1">
        <v>17.91</v>
      </c>
      <c r="F179" s="4">
        <v>4283</v>
      </c>
      <c r="G179" s="4">
        <v>0</v>
      </c>
      <c r="H179" s="4">
        <v>4283</v>
      </c>
      <c r="I179" s="5">
        <f>+VLOOKUP($C179,Hoja2!$A$2:$B$7,2,0)</f>
        <v>239.10159999999999</v>
      </c>
      <c r="J179" s="4">
        <v>6</v>
      </c>
      <c r="K179" s="2">
        <f t="shared" si="4"/>
        <v>233.10159999999999</v>
      </c>
      <c r="L179" s="2">
        <f t="shared" si="5"/>
        <v>4174.8496559999994</v>
      </c>
    </row>
    <row r="180" spans="1:12" hidden="1" x14ac:dyDescent="0.3">
      <c r="A180" s="11" t="s">
        <v>129</v>
      </c>
      <c r="B180" s="1" t="s">
        <v>66</v>
      </c>
      <c r="C180" s="1" t="s">
        <v>9</v>
      </c>
      <c r="D180" s="3" t="s">
        <v>67</v>
      </c>
      <c r="E180" s="1">
        <v>27</v>
      </c>
      <c r="F180" s="4">
        <v>5982.6</v>
      </c>
      <c r="G180" s="4">
        <v>0</v>
      </c>
      <c r="H180" s="4">
        <v>5982.6</v>
      </c>
      <c r="I180" s="5">
        <f>+VLOOKUP($C180,Hoja2!$A$2:$B$7,2,0)</f>
        <v>221.59520000000001</v>
      </c>
      <c r="J180" s="4">
        <v>6</v>
      </c>
      <c r="K180" s="2">
        <f t="shared" si="4"/>
        <v>215.59520000000001</v>
      </c>
      <c r="L180" s="2">
        <f t="shared" si="5"/>
        <v>5821.0704000000005</v>
      </c>
    </row>
    <row r="181" spans="1:12" hidden="1" x14ac:dyDescent="0.3">
      <c r="A181" s="11" t="s">
        <v>127</v>
      </c>
      <c r="B181" s="1" t="s">
        <v>66</v>
      </c>
      <c r="C181" s="1" t="s">
        <v>11</v>
      </c>
      <c r="D181" s="3" t="s">
        <v>67</v>
      </c>
      <c r="E181" s="1">
        <v>33.46</v>
      </c>
      <c r="F181" s="4">
        <v>8000</v>
      </c>
      <c r="G181" s="4">
        <v>0</v>
      </c>
      <c r="H181" s="4">
        <v>8000</v>
      </c>
      <c r="I181" s="5">
        <f>+VLOOKUP($C181,Hoja2!$A$2:$B$7,2,0)</f>
        <v>239.10159999999999</v>
      </c>
      <c r="J181" s="4">
        <v>6</v>
      </c>
      <c r="K181" s="2">
        <f t="shared" si="4"/>
        <v>233.10159999999999</v>
      </c>
      <c r="L181" s="2">
        <f t="shared" si="5"/>
        <v>7799.5795360000002</v>
      </c>
    </row>
    <row r="182" spans="1:12" hidden="1" x14ac:dyDescent="0.3">
      <c r="A182" s="11">
        <v>45608</v>
      </c>
      <c r="B182" s="1" t="s">
        <v>66</v>
      </c>
      <c r="C182" s="1" t="s">
        <v>11</v>
      </c>
      <c r="D182" s="3" t="s">
        <v>67</v>
      </c>
      <c r="E182" s="1">
        <v>27.19</v>
      </c>
      <c r="F182" s="4">
        <v>6500</v>
      </c>
      <c r="G182" s="4">
        <v>0</v>
      </c>
      <c r="H182" s="4">
        <v>6500</v>
      </c>
      <c r="I182" s="5">
        <f>+VLOOKUP($C182,Hoja2!$A$2:$B$7,2,0)</f>
        <v>239.10159999999999</v>
      </c>
      <c r="J182" s="4">
        <v>6</v>
      </c>
      <c r="K182" s="2">
        <f t="shared" si="4"/>
        <v>233.10159999999999</v>
      </c>
      <c r="L182" s="2">
        <f t="shared" si="5"/>
        <v>6338.0325039999998</v>
      </c>
    </row>
    <row r="183" spans="1:12" hidden="1" x14ac:dyDescent="0.3">
      <c r="A183" s="11">
        <v>45547</v>
      </c>
      <c r="B183" s="1" t="s">
        <v>66</v>
      </c>
      <c r="C183" s="1" t="s">
        <v>11</v>
      </c>
      <c r="D183" s="3" t="s">
        <v>67</v>
      </c>
      <c r="E183" s="1">
        <v>33.47</v>
      </c>
      <c r="F183" s="4">
        <v>8002</v>
      </c>
      <c r="G183" s="4">
        <v>0</v>
      </c>
      <c r="H183" s="4">
        <v>8002</v>
      </c>
      <c r="I183" s="5">
        <f>+VLOOKUP($C183,Hoja2!$A$2:$B$7,2,0)</f>
        <v>239.10159999999999</v>
      </c>
      <c r="J183" s="4">
        <v>6</v>
      </c>
      <c r="K183" s="2">
        <f t="shared" si="4"/>
        <v>233.10159999999999</v>
      </c>
      <c r="L183" s="2">
        <f t="shared" si="5"/>
        <v>7801.9105519999994</v>
      </c>
    </row>
    <row r="184" spans="1:12" ht="28.8" hidden="1" x14ac:dyDescent="0.3">
      <c r="A184" s="11">
        <v>45577</v>
      </c>
      <c r="B184" s="1" t="s">
        <v>68</v>
      </c>
      <c r="C184" s="1" t="s">
        <v>9</v>
      </c>
      <c r="D184" s="3" t="s">
        <v>69</v>
      </c>
      <c r="E184" s="1">
        <v>8.57</v>
      </c>
      <c r="F184" s="4">
        <v>1900</v>
      </c>
      <c r="G184" s="4">
        <v>0</v>
      </c>
      <c r="H184" s="4">
        <v>1900</v>
      </c>
      <c r="I184" s="5">
        <f>+VLOOKUP($C184,Hoja2!$A$2:$B$7,2,0)</f>
        <v>221.59520000000001</v>
      </c>
      <c r="J184" s="4">
        <v>6</v>
      </c>
      <c r="K184" s="2">
        <f t="shared" si="4"/>
        <v>215.59520000000001</v>
      </c>
      <c r="L184" s="2">
        <f t="shared" si="5"/>
        <v>1847.6508640000002</v>
      </c>
    </row>
    <row r="185" spans="1:12" ht="28.8" hidden="1" x14ac:dyDescent="0.3">
      <c r="A185" s="11" t="s">
        <v>126</v>
      </c>
      <c r="B185" s="1" t="s">
        <v>68</v>
      </c>
      <c r="C185" s="1" t="s">
        <v>9</v>
      </c>
      <c r="D185" s="3" t="s">
        <v>69</v>
      </c>
      <c r="E185" s="1">
        <v>12.09</v>
      </c>
      <c r="F185" s="4">
        <v>2680</v>
      </c>
      <c r="G185" s="4">
        <v>0</v>
      </c>
      <c r="H185" s="4">
        <v>2680</v>
      </c>
      <c r="I185" s="5">
        <f>+VLOOKUP($C185,Hoja2!$A$2:$B$7,2,0)</f>
        <v>221.59520000000001</v>
      </c>
      <c r="J185" s="4">
        <v>6</v>
      </c>
      <c r="K185" s="2">
        <f t="shared" si="4"/>
        <v>215.59520000000001</v>
      </c>
      <c r="L185" s="2">
        <f t="shared" si="5"/>
        <v>2606.5459679999999</v>
      </c>
    </row>
    <row r="186" spans="1:12" ht="28.8" hidden="1" x14ac:dyDescent="0.3">
      <c r="A186" s="11" t="s">
        <v>133</v>
      </c>
      <c r="B186" s="1" t="s">
        <v>68</v>
      </c>
      <c r="C186" s="1" t="s">
        <v>11</v>
      </c>
      <c r="D186" s="3" t="s">
        <v>69</v>
      </c>
      <c r="E186" s="1">
        <v>20.49</v>
      </c>
      <c r="F186" s="4">
        <v>4900</v>
      </c>
      <c r="G186" s="4">
        <v>0</v>
      </c>
      <c r="H186" s="4">
        <v>4900</v>
      </c>
      <c r="I186" s="5">
        <f>+VLOOKUP($C186,Hoja2!$A$2:$B$7,2,0)</f>
        <v>239.10159999999999</v>
      </c>
      <c r="J186" s="4">
        <v>6</v>
      </c>
      <c r="K186" s="2">
        <f t="shared" si="4"/>
        <v>233.10159999999999</v>
      </c>
      <c r="L186" s="2">
        <f t="shared" si="5"/>
        <v>4776.2517839999991</v>
      </c>
    </row>
    <row r="187" spans="1:12" ht="28.8" hidden="1" x14ac:dyDescent="0.3">
      <c r="A187" s="11" t="s">
        <v>134</v>
      </c>
      <c r="B187" s="1" t="s">
        <v>68</v>
      </c>
      <c r="C187" s="1" t="s">
        <v>11</v>
      </c>
      <c r="D187" s="3" t="s">
        <v>69</v>
      </c>
      <c r="E187" s="1">
        <v>9.6999999999999993</v>
      </c>
      <c r="F187" s="4">
        <v>2320</v>
      </c>
      <c r="G187" s="4">
        <v>0</v>
      </c>
      <c r="H187" s="4">
        <v>2320</v>
      </c>
      <c r="I187" s="5">
        <f>+VLOOKUP($C187,Hoja2!$A$2:$B$7,2,0)</f>
        <v>239.10159999999999</v>
      </c>
      <c r="J187" s="4">
        <v>6</v>
      </c>
      <c r="K187" s="2">
        <f t="shared" si="4"/>
        <v>233.10159999999999</v>
      </c>
      <c r="L187" s="2">
        <f t="shared" si="5"/>
        <v>2261.0855199999996</v>
      </c>
    </row>
    <row r="188" spans="1:12" ht="28.8" hidden="1" x14ac:dyDescent="0.3">
      <c r="A188" s="11">
        <v>45303</v>
      </c>
      <c r="B188" s="1" t="s">
        <v>68</v>
      </c>
      <c r="C188" s="1" t="s">
        <v>11</v>
      </c>
      <c r="D188" s="3" t="s">
        <v>69</v>
      </c>
      <c r="E188" s="1">
        <v>14.64</v>
      </c>
      <c r="F188" s="4">
        <v>3500</v>
      </c>
      <c r="G188" s="4">
        <v>0</v>
      </c>
      <c r="H188" s="4">
        <v>3500</v>
      </c>
      <c r="I188" s="5">
        <f>+VLOOKUP($C188,Hoja2!$A$2:$B$7,2,0)</f>
        <v>239.10159999999999</v>
      </c>
      <c r="J188" s="4">
        <v>6</v>
      </c>
      <c r="K188" s="2">
        <f t="shared" si="4"/>
        <v>233.10159999999999</v>
      </c>
      <c r="L188" s="2">
        <f t="shared" si="5"/>
        <v>3412.6074239999998</v>
      </c>
    </row>
    <row r="189" spans="1:12" ht="28.8" hidden="1" x14ac:dyDescent="0.3">
      <c r="A189" s="11" t="s">
        <v>126</v>
      </c>
      <c r="B189" s="1" t="s">
        <v>70</v>
      </c>
      <c r="C189" s="1" t="s">
        <v>9</v>
      </c>
      <c r="D189" s="3" t="s">
        <v>71</v>
      </c>
      <c r="E189" s="1">
        <v>45.12</v>
      </c>
      <c r="F189" s="4">
        <v>9999</v>
      </c>
      <c r="G189" s="4">
        <v>0</v>
      </c>
      <c r="H189" s="4">
        <v>9999</v>
      </c>
      <c r="I189" s="5">
        <f>+VLOOKUP($C189,Hoja2!$A$2:$B$7,2,0)</f>
        <v>221.59520000000001</v>
      </c>
      <c r="J189" s="4">
        <v>6</v>
      </c>
      <c r="K189" s="2">
        <f t="shared" si="4"/>
        <v>215.59520000000001</v>
      </c>
      <c r="L189" s="2">
        <f t="shared" si="5"/>
        <v>9727.6554240000005</v>
      </c>
    </row>
    <row r="190" spans="1:12" ht="28.8" hidden="1" x14ac:dyDescent="0.3">
      <c r="A190" s="11" t="s">
        <v>126</v>
      </c>
      <c r="B190" s="1" t="s">
        <v>70</v>
      </c>
      <c r="C190" s="1" t="s">
        <v>9</v>
      </c>
      <c r="D190" s="3" t="s">
        <v>71</v>
      </c>
      <c r="E190" s="1">
        <v>45.12</v>
      </c>
      <c r="F190" s="4">
        <v>9999</v>
      </c>
      <c r="G190" s="4">
        <v>0</v>
      </c>
      <c r="H190" s="4">
        <v>9999</v>
      </c>
      <c r="I190" s="5">
        <f>+VLOOKUP($C190,Hoja2!$A$2:$B$7,2,0)</f>
        <v>221.59520000000001</v>
      </c>
      <c r="J190" s="4">
        <v>6</v>
      </c>
      <c r="K190" s="2">
        <f t="shared" si="4"/>
        <v>215.59520000000001</v>
      </c>
      <c r="L190" s="2">
        <f t="shared" si="5"/>
        <v>9727.6554240000005</v>
      </c>
    </row>
    <row r="191" spans="1:12" ht="28.8" hidden="1" x14ac:dyDescent="0.3">
      <c r="A191" s="11" t="s">
        <v>140</v>
      </c>
      <c r="B191" s="1" t="s">
        <v>70</v>
      </c>
      <c r="C191" s="1" t="s">
        <v>9</v>
      </c>
      <c r="D191" s="3" t="s">
        <v>71</v>
      </c>
      <c r="E191" s="1">
        <v>45.12</v>
      </c>
      <c r="F191" s="4">
        <v>9999</v>
      </c>
      <c r="G191" s="4">
        <v>0</v>
      </c>
      <c r="H191" s="4">
        <v>9999</v>
      </c>
      <c r="I191" s="5">
        <f>+VLOOKUP($C191,Hoja2!$A$2:$B$7,2,0)</f>
        <v>221.59520000000001</v>
      </c>
      <c r="J191" s="4">
        <v>6</v>
      </c>
      <c r="K191" s="2">
        <f t="shared" si="4"/>
        <v>215.59520000000001</v>
      </c>
      <c r="L191" s="2">
        <f t="shared" si="5"/>
        <v>9727.6554240000005</v>
      </c>
    </row>
    <row r="192" spans="1:12" ht="43.2" hidden="1" x14ac:dyDescent="0.3">
      <c r="A192" s="11" t="s">
        <v>127</v>
      </c>
      <c r="B192" s="1" t="s">
        <v>72</v>
      </c>
      <c r="C192" s="1" t="s">
        <v>9</v>
      </c>
      <c r="D192" s="3" t="s">
        <v>73</v>
      </c>
      <c r="E192" s="1">
        <v>22.56</v>
      </c>
      <c r="F192" s="4">
        <v>5000</v>
      </c>
      <c r="G192" s="4">
        <v>0</v>
      </c>
      <c r="H192" s="4">
        <v>5000</v>
      </c>
      <c r="I192" s="5">
        <f>+VLOOKUP($C192,Hoja2!$A$2:$B$7,2,0)</f>
        <v>221.59520000000001</v>
      </c>
      <c r="J192" s="4">
        <v>6</v>
      </c>
      <c r="K192" s="2">
        <f t="shared" si="4"/>
        <v>215.59520000000001</v>
      </c>
      <c r="L192" s="2">
        <f t="shared" si="5"/>
        <v>4863.8277120000002</v>
      </c>
    </row>
    <row r="193" spans="1:12" ht="43.2" hidden="1" x14ac:dyDescent="0.3">
      <c r="A193" s="11">
        <v>45424</v>
      </c>
      <c r="B193" s="1" t="s">
        <v>72</v>
      </c>
      <c r="C193" s="1" t="s">
        <v>9</v>
      </c>
      <c r="D193" s="3" t="s">
        <v>73</v>
      </c>
      <c r="E193" s="1">
        <v>22.56</v>
      </c>
      <c r="F193" s="4">
        <v>5000</v>
      </c>
      <c r="G193" s="4">
        <v>0</v>
      </c>
      <c r="H193" s="4">
        <v>5000</v>
      </c>
      <c r="I193" s="5">
        <f>+VLOOKUP($C193,Hoja2!$A$2:$B$7,2,0)</f>
        <v>221.59520000000001</v>
      </c>
      <c r="J193" s="4">
        <v>6</v>
      </c>
      <c r="K193" s="2">
        <f t="shared" si="4"/>
        <v>215.59520000000001</v>
      </c>
      <c r="L193" s="2">
        <f t="shared" si="5"/>
        <v>4863.8277120000002</v>
      </c>
    </row>
    <row r="194" spans="1:12" ht="43.2" hidden="1" x14ac:dyDescent="0.3">
      <c r="A194" s="11" t="s">
        <v>142</v>
      </c>
      <c r="B194" s="1" t="s">
        <v>72</v>
      </c>
      <c r="C194" s="1" t="s">
        <v>9</v>
      </c>
      <c r="D194" s="3" t="s">
        <v>73</v>
      </c>
      <c r="E194" s="1">
        <v>22.56</v>
      </c>
      <c r="F194" s="4">
        <v>5000</v>
      </c>
      <c r="G194" s="4">
        <v>0</v>
      </c>
      <c r="H194" s="4">
        <v>5000</v>
      </c>
      <c r="I194" s="5">
        <f>+VLOOKUP($C194,Hoja2!$A$2:$B$7,2,0)</f>
        <v>221.59520000000001</v>
      </c>
      <c r="J194" s="4">
        <v>6</v>
      </c>
      <c r="K194" s="2">
        <f t="shared" si="4"/>
        <v>215.59520000000001</v>
      </c>
      <c r="L194" s="2">
        <f t="shared" si="5"/>
        <v>4863.8277120000002</v>
      </c>
    </row>
    <row r="195" spans="1:12" ht="43.2" hidden="1" x14ac:dyDescent="0.3">
      <c r="A195" s="11" t="s">
        <v>138</v>
      </c>
      <c r="B195" s="1" t="s">
        <v>72</v>
      </c>
      <c r="C195" s="1" t="s">
        <v>9</v>
      </c>
      <c r="D195" s="3" t="s">
        <v>73</v>
      </c>
      <c r="E195" s="1">
        <v>22.56</v>
      </c>
      <c r="F195" s="4">
        <v>5000</v>
      </c>
      <c r="G195" s="4">
        <v>0</v>
      </c>
      <c r="H195" s="4">
        <v>5000</v>
      </c>
      <c r="I195" s="5">
        <f>+VLOOKUP($C195,Hoja2!$A$2:$B$7,2,0)</f>
        <v>221.59520000000001</v>
      </c>
      <c r="J195" s="4">
        <v>6</v>
      </c>
      <c r="K195" s="2">
        <f t="shared" ref="K195:K258" si="6">+I195-J195</f>
        <v>215.59520000000001</v>
      </c>
      <c r="L195" s="2">
        <f t="shared" ref="L195:L258" si="7">+K195*E195</f>
        <v>4863.8277120000002</v>
      </c>
    </row>
    <row r="196" spans="1:12" ht="43.2" hidden="1" x14ac:dyDescent="0.3">
      <c r="A196" s="11">
        <v>45334</v>
      </c>
      <c r="B196" s="1" t="s">
        <v>72</v>
      </c>
      <c r="C196" s="1" t="s">
        <v>9</v>
      </c>
      <c r="D196" s="3" t="s">
        <v>73</v>
      </c>
      <c r="E196" s="1">
        <v>22.56</v>
      </c>
      <c r="F196" s="4">
        <v>5000</v>
      </c>
      <c r="G196" s="4">
        <v>0</v>
      </c>
      <c r="H196" s="4">
        <v>5000</v>
      </c>
      <c r="I196" s="5">
        <f>+VLOOKUP($C196,Hoja2!$A$2:$B$7,2,0)</f>
        <v>221.59520000000001</v>
      </c>
      <c r="J196" s="4">
        <v>6</v>
      </c>
      <c r="K196" s="2">
        <f t="shared" si="6"/>
        <v>215.59520000000001</v>
      </c>
      <c r="L196" s="2">
        <f t="shared" si="7"/>
        <v>4863.8277120000002</v>
      </c>
    </row>
    <row r="197" spans="1:12" ht="43.2" hidden="1" x14ac:dyDescent="0.3">
      <c r="A197" s="11">
        <v>45485</v>
      </c>
      <c r="B197" s="1" t="s">
        <v>72</v>
      </c>
      <c r="C197" s="1" t="s">
        <v>9</v>
      </c>
      <c r="D197" s="3" t="s">
        <v>73</v>
      </c>
      <c r="E197" s="1">
        <v>22.56</v>
      </c>
      <c r="F197" s="4">
        <v>5000</v>
      </c>
      <c r="G197" s="4">
        <v>0</v>
      </c>
      <c r="H197" s="4">
        <v>5000</v>
      </c>
      <c r="I197" s="5">
        <f>+VLOOKUP($C197,Hoja2!$A$2:$B$7,2,0)</f>
        <v>221.59520000000001</v>
      </c>
      <c r="J197" s="4">
        <v>6</v>
      </c>
      <c r="K197" s="2">
        <f t="shared" si="6"/>
        <v>215.59520000000001</v>
      </c>
      <c r="L197" s="2">
        <f t="shared" si="7"/>
        <v>4863.8277120000002</v>
      </c>
    </row>
    <row r="198" spans="1:12" ht="43.2" hidden="1" x14ac:dyDescent="0.3">
      <c r="A198" s="11" t="s">
        <v>137</v>
      </c>
      <c r="B198" s="1" t="s">
        <v>72</v>
      </c>
      <c r="C198" s="1" t="s">
        <v>9</v>
      </c>
      <c r="D198" s="3" t="s">
        <v>73</v>
      </c>
      <c r="E198" s="1">
        <v>36.1</v>
      </c>
      <c r="F198" s="4">
        <v>8000</v>
      </c>
      <c r="G198" s="4">
        <v>0</v>
      </c>
      <c r="H198" s="4">
        <v>8000</v>
      </c>
      <c r="I198" s="5">
        <f>+VLOOKUP($C198,Hoja2!$A$2:$B$7,2,0)</f>
        <v>221.59520000000001</v>
      </c>
      <c r="J198" s="4">
        <v>6</v>
      </c>
      <c r="K198" s="2">
        <f t="shared" si="6"/>
        <v>215.59520000000001</v>
      </c>
      <c r="L198" s="2">
        <f t="shared" si="7"/>
        <v>7782.9867200000008</v>
      </c>
    </row>
    <row r="199" spans="1:12" ht="43.2" hidden="1" x14ac:dyDescent="0.3">
      <c r="A199" s="11">
        <v>45638</v>
      </c>
      <c r="B199" s="1" t="s">
        <v>72</v>
      </c>
      <c r="C199" s="1" t="s">
        <v>9</v>
      </c>
      <c r="D199" s="3" t="s">
        <v>73</v>
      </c>
      <c r="E199" s="1">
        <v>22.56</v>
      </c>
      <c r="F199" s="4">
        <v>5000</v>
      </c>
      <c r="G199" s="4">
        <v>0</v>
      </c>
      <c r="H199" s="4">
        <v>5000</v>
      </c>
      <c r="I199" s="5">
        <f>+VLOOKUP($C199,Hoja2!$A$2:$B$7,2,0)</f>
        <v>221.59520000000001</v>
      </c>
      <c r="J199" s="4">
        <v>6</v>
      </c>
      <c r="K199" s="2">
        <f t="shared" si="6"/>
        <v>215.59520000000001</v>
      </c>
      <c r="L199" s="2">
        <f t="shared" si="7"/>
        <v>4863.8277120000002</v>
      </c>
    </row>
    <row r="200" spans="1:12" ht="43.2" hidden="1" x14ac:dyDescent="0.3">
      <c r="A200" s="11">
        <v>45577</v>
      </c>
      <c r="B200" s="1" t="s">
        <v>72</v>
      </c>
      <c r="C200" s="1" t="s">
        <v>9</v>
      </c>
      <c r="D200" s="3" t="s">
        <v>73</v>
      </c>
      <c r="E200" s="1">
        <v>22.56</v>
      </c>
      <c r="F200" s="4">
        <v>5000</v>
      </c>
      <c r="G200" s="4">
        <v>0</v>
      </c>
      <c r="H200" s="4">
        <v>5000</v>
      </c>
      <c r="I200" s="5">
        <f>+VLOOKUP($C200,Hoja2!$A$2:$B$7,2,0)</f>
        <v>221.59520000000001</v>
      </c>
      <c r="J200" s="4">
        <v>6</v>
      </c>
      <c r="K200" s="2">
        <f t="shared" si="6"/>
        <v>215.59520000000001</v>
      </c>
      <c r="L200" s="2">
        <f t="shared" si="7"/>
        <v>4863.8277120000002</v>
      </c>
    </row>
    <row r="201" spans="1:12" ht="28.8" hidden="1" x14ac:dyDescent="0.3">
      <c r="A201" s="11" t="s">
        <v>131</v>
      </c>
      <c r="B201" s="1" t="s">
        <v>74</v>
      </c>
      <c r="C201" s="1" t="s">
        <v>13</v>
      </c>
      <c r="D201" s="3" t="s">
        <v>75</v>
      </c>
      <c r="E201" s="1">
        <v>6.57</v>
      </c>
      <c r="F201" s="4">
        <v>1906</v>
      </c>
      <c r="G201" s="4">
        <v>0</v>
      </c>
      <c r="H201" s="4">
        <v>1906</v>
      </c>
      <c r="I201" s="5">
        <f>+VLOOKUP($C201,Hoja2!$A$2:$B$7,2,0)</f>
        <v>290.10039999999998</v>
      </c>
      <c r="J201" s="4">
        <v>6</v>
      </c>
      <c r="K201" s="2">
        <f t="shared" si="6"/>
        <v>284.10039999999998</v>
      </c>
      <c r="L201" s="2">
        <f t="shared" si="7"/>
        <v>1866.539628</v>
      </c>
    </row>
    <row r="202" spans="1:12" ht="28.8" hidden="1" x14ac:dyDescent="0.3">
      <c r="A202" s="11">
        <v>45394</v>
      </c>
      <c r="B202" s="1" t="s">
        <v>74</v>
      </c>
      <c r="C202" s="1" t="s">
        <v>13</v>
      </c>
      <c r="D202" s="3" t="s">
        <v>75</v>
      </c>
      <c r="E202" s="1">
        <v>4.72</v>
      </c>
      <c r="F202" s="4">
        <v>1369.6</v>
      </c>
      <c r="G202" s="4">
        <v>0</v>
      </c>
      <c r="H202" s="4">
        <v>1369.6</v>
      </c>
      <c r="I202" s="5">
        <f>+VLOOKUP($C202,Hoja2!$A$2:$B$7,2,0)</f>
        <v>290.10039999999998</v>
      </c>
      <c r="J202" s="4">
        <v>6</v>
      </c>
      <c r="K202" s="2">
        <f t="shared" si="6"/>
        <v>284.10039999999998</v>
      </c>
      <c r="L202" s="2">
        <f t="shared" si="7"/>
        <v>1340.9538879999998</v>
      </c>
    </row>
    <row r="203" spans="1:12" ht="28.8" hidden="1" x14ac:dyDescent="0.3">
      <c r="A203" s="11">
        <v>45424</v>
      </c>
      <c r="B203" s="1" t="s">
        <v>74</v>
      </c>
      <c r="C203" s="1" t="s">
        <v>13</v>
      </c>
      <c r="D203" s="3" t="s">
        <v>75</v>
      </c>
      <c r="E203" s="1">
        <v>3.19</v>
      </c>
      <c r="F203" s="4">
        <v>925.4</v>
      </c>
      <c r="G203" s="4">
        <v>0</v>
      </c>
      <c r="H203" s="4">
        <v>925.4</v>
      </c>
      <c r="I203" s="5">
        <f>+VLOOKUP($C203,Hoja2!$A$2:$B$7,2,0)</f>
        <v>290.10039999999998</v>
      </c>
      <c r="J203" s="4">
        <v>6</v>
      </c>
      <c r="K203" s="2">
        <f t="shared" si="6"/>
        <v>284.10039999999998</v>
      </c>
      <c r="L203" s="2">
        <f t="shared" si="7"/>
        <v>906.28027599999996</v>
      </c>
    </row>
    <row r="204" spans="1:12" ht="28.8" hidden="1" x14ac:dyDescent="0.3">
      <c r="A204" s="11">
        <v>45455</v>
      </c>
      <c r="B204" s="1" t="s">
        <v>74</v>
      </c>
      <c r="C204" s="1" t="s">
        <v>13</v>
      </c>
      <c r="D204" s="3" t="s">
        <v>75</v>
      </c>
      <c r="E204" s="1">
        <v>6.59</v>
      </c>
      <c r="F204" s="4">
        <v>1911</v>
      </c>
      <c r="G204" s="4">
        <v>0</v>
      </c>
      <c r="H204" s="4">
        <v>1911</v>
      </c>
      <c r="I204" s="5">
        <f>+VLOOKUP($C204,Hoja2!$A$2:$B$7,2,0)</f>
        <v>290.10039999999998</v>
      </c>
      <c r="J204" s="4">
        <v>6</v>
      </c>
      <c r="K204" s="2">
        <f t="shared" si="6"/>
        <v>284.10039999999998</v>
      </c>
      <c r="L204" s="2">
        <f t="shared" si="7"/>
        <v>1872.2216359999998</v>
      </c>
    </row>
    <row r="205" spans="1:12" ht="28.8" hidden="1" x14ac:dyDescent="0.3">
      <c r="A205" s="11">
        <v>45485</v>
      </c>
      <c r="B205" s="1" t="s">
        <v>74</v>
      </c>
      <c r="C205" s="1" t="s">
        <v>13</v>
      </c>
      <c r="D205" s="3" t="s">
        <v>75</v>
      </c>
      <c r="E205" s="1">
        <v>2.76</v>
      </c>
      <c r="F205" s="4">
        <v>800.7</v>
      </c>
      <c r="G205" s="4">
        <v>0</v>
      </c>
      <c r="H205" s="4">
        <v>800.7</v>
      </c>
      <c r="I205" s="5">
        <f>+VLOOKUP($C205,Hoja2!$A$2:$B$7,2,0)</f>
        <v>290.10039999999998</v>
      </c>
      <c r="J205" s="4">
        <v>6</v>
      </c>
      <c r="K205" s="2">
        <f t="shared" si="6"/>
        <v>284.10039999999998</v>
      </c>
      <c r="L205" s="2">
        <f t="shared" si="7"/>
        <v>784.11710399999993</v>
      </c>
    </row>
    <row r="206" spans="1:12" ht="28.8" hidden="1" x14ac:dyDescent="0.3">
      <c r="A206" s="11">
        <v>45577</v>
      </c>
      <c r="B206" s="1" t="s">
        <v>74</v>
      </c>
      <c r="C206" s="1" t="s">
        <v>13</v>
      </c>
      <c r="D206" s="3" t="s">
        <v>75</v>
      </c>
      <c r="E206" s="1">
        <v>6.18</v>
      </c>
      <c r="F206" s="4">
        <v>1793</v>
      </c>
      <c r="G206" s="4">
        <v>0</v>
      </c>
      <c r="H206" s="4">
        <v>1793</v>
      </c>
      <c r="I206" s="5">
        <f>+VLOOKUP($C206,Hoja2!$A$2:$B$7,2,0)</f>
        <v>290.10039999999998</v>
      </c>
      <c r="J206" s="4">
        <v>6</v>
      </c>
      <c r="K206" s="2">
        <f t="shared" si="6"/>
        <v>284.10039999999998</v>
      </c>
      <c r="L206" s="2">
        <f t="shared" si="7"/>
        <v>1755.7404719999997</v>
      </c>
    </row>
    <row r="207" spans="1:12" ht="28.8" hidden="1" x14ac:dyDescent="0.3">
      <c r="A207" s="11" t="s">
        <v>131</v>
      </c>
      <c r="B207" s="1" t="s">
        <v>76</v>
      </c>
      <c r="C207" s="1" t="s">
        <v>21</v>
      </c>
      <c r="D207" s="3" t="s">
        <v>77</v>
      </c>
      <c r="E207" s="1">
        <v>5</v>
      </c>
      <c r="F207" s="4">
        <v>1362.5</v>
      </c>
      <c r="G207" s="4">
        <v>0</v>
      </c>
      <c r="H207" s="4">
        <v>1362.5</v>
      </c>
      <c r="I207" s="5">
        <f>+VLOOKUP($C207,Hoja2!$A$2:$B$7,2,0)</f>
        <v>272.50659999999999</v>
      </c>
      <c r="J207" s="4">
        <v>6</v>
      </c>
      <c r="K207" s="2">
        <f t="shared" si="6"/>
        <v>266.50659999999999</v>
      </c>
      <c r="L207" s="2">
        <f t="shared" si="7"/>
        <v>1332.5329999999999</v>
      </c>
    </row>
    <row r="208" spans="1:12" ht="28.8" hidden="1" x14ac:dyDescent="0.3">
      <c r="A208" s="11" t="s">
        <v>135</v>
      </c>
      <c r="B208" s="1" t="s">
        <v>76</v>
      </c>
      <c r="C208" s="1" t="s">
        <v>21</v>
      </c>
      <c r="D208" s="3" t="s">
        <v>77</v>
      </c>
      <c r="E208" s="1">
        <v>3.67</v>
      </c>
      <c r="F208" s="4">
        <v>1000</v>
      </c>
      <c r="G208" s="4">
        <v>0</v>
      </c>
      <c r="H208" s="4">
        <v>1000</v>
      </c>
      <c r="I208" s="5">
        <f>+VLOOKUP($C208,Hoja2!$A$2:$B$7,2,0)</f>
        <v>272.50659999999999</v>
      </c>
      <c r="J208" s="4">
        <v>6</v>
      </c>
      <c r="K208" s="2">
        <f t="shared" si="6"/>
        <v>266.50659999999999</v>
      </c>
      <c r="L208" s="2">
        <f t="shared" si="7"/>
        <v>978.07922199999996</v>
      </c>
    </row>
    <row r="209" spans="1:12" ht="28.8" hidden="1" x14ac:dyDescent="0.3">
      <c r="A209" s="11" t="s">
        <v>138</v>
      </c>
      <c r="B209" s="1" t="s">
        <v>76</v>
      </c>
      <c r="C209" s="1" t="s">
        <v>21</v>
      </c>
      <c r="D209" s="3" t="s">
        <v>77</v>
      </c>
      <c r="E209" s="1">
        <v>3.67</v>
      </c>
      <c r="F209" s="4">
        <v>1000</v>
      </c>
      <c r="G209" s="4">
        <v>0</v>
      </c>
      <c r="H209" s="4">
        <v>1000</v>
      </c>
      <c r="I209" s="5">
        <f>+VLOOKUP($C209,Hoja2!$A$2:$B$7,2,0)</f>
        <v>272.50659999999999</v>
      </c>
      <c r="J209" s="4">
        <v>6</v>
      </c>
      <c r="K209" s="2">
        <f t="shared" si="6"/>
        <v>266.50659999999999</v>
      </c>
      <c r="L209" s="2">
        <f t="shared" si="7"/>
        <v>978.07922199999996</v>
      </c>
    </row>
    <row r="210" spans="1:12" ht="28.8" hidden="1" x14ac:dyDescent="0.3">
      <c r="A210" s="11" t="s">
        <v>137</v>
      </c>
      <c r="B210" s="1" t="s">
        <v>76</v>
      </c>
      <c r="C210" s="1" t="s">
        <v>21</v>
      </c>
      <c r="D210" s="3" t="s">
        <v>77</v>
      </c>
      <c r="E210" s="1">
        <v>3.67</v>
      </c>
      <c r="F210" s="4">
        <v>1000</v>
      </c>
      <c r="G210" s="4">
        <v>0</v>
      </c>
      <c r="H210" s="4">
        <v>1000</v>
      </c>
      <c r="I210" s="5">
        <f>+VLOOKUP($C210,Hoja2!$A$2:$B$7,2,0)</f>
        <v>272.50659999999999</v>
      </c>
      <c r="J210" s="4">
        <v>6</v>
      </c>
      <c r="K210" s="2">
        <f t="shared" si="6"/>
        <v>266.50659999999999</v>
      </c>
      <c r="L210" s="2">
        <f t="shared" si="7"/>
        <v>978.07922199999996</v>
      </c>
    </row>
    <row r="211" spans="1:12" ht="28.8" hidden="1" x14ac:dyDescent="0.3">
      <c r="A211" s="11" t="s">
        <v>132</v>
      </c>
      <c r="B211" s="1" t="s">
        <v>76</v>
      </c>
      <c r="C211" s="1" t="s">
        <v>21</v>
      </c>
      <c r="D211" s="3" t="s">
        <v>77</v>
      </c>
      <c r="E211" s="1">
        <v>4</v>
      </c>
      <c r="F211" s="4">
        <v>1090</v>
      </c>
      <c r="G211" s="4">
        <v>0</v>
      </c>
      <c r="H211" s="4">
        <v>1090</v>
      </c>
      <c r="I211" s="5">
        <f>+VLOOKUP($C211,Hoja2!$A$2:$B$7,2,0)</f>
        <v>272.50659999999999</v>
      </c>
      <c r="J211" s="4">
        <v>6</v>
      </c>
      <c r="K211" s="2">
        <f t="shared" si="6"/>
        <v>266.50659999999999</v>
      </c>
      <c r="L211" s="2">
        <f t="shared" si="7"/>
        <v>1066.0264</v>
      </c>
    </row>
    <row r="212" spans="1:12" ht="28.8" hidden="1" x14ac:dyDescent="0.3">
      <c r="A212" s="11" t="s">
        <v>126</v>
      </c>
      <c r="B212" s="1" t="s">
        <v>76</v>
      </c>
      <c r="C212" s="1" t="s">
        <v>21</v>
      </c>
      <c r="D212" s="3" t="s">
        <v>77</v>
      </c>
      <c r="E212" s="1">
        <v>5</v>
      </c>
      <c r="F212" s="4">
        <v>1363</v>
      </c>
      <c r="G212" s="4">
        <v>0</v>
      </c>
      <c r="H212" s="4">
        <v>1363</v>
      </c>
      <c r="I212" s="5">
        <f>+VLOOKUP($C212,Hoja2!$A$2:$B$7,2,0)</f>
        <v>272.50659999999999</v>
      </c>
      <c r="J212" s="4">
        <v>6</v>
      </c>
      <c r="K212" s="2">
        <f t="shared" si="6"/>
        <v>266.50659999999999</v>
      </c>
      <c r="L212" s="2">
        <f t="shared" si="7"/>
        <v>1332.5329999999999</v>
      </c>
    </row>
    <row r="213" spans="1:12" ht="28.8" hidden="1" x14ac:dyDescent="0.3">
      <c r="A213" s="11">
        <v>45638</v>
      </c>
      <c r="B213" s="1" t="s">
        <v>76</v>
      </c>
      <c r="C213" s="1" t="s">
        <v>21</v>
      </c>
      <c r="D213" s="3" t="s">
        <v>77</v>
      </c>
      <c r="E213" s="1">
        <v>7</v>
      </c>
      <c r="F213" s="4">
        <v>1908</v>
      </c>
      <c r="G213" s="4">
        <v>0</v>
      </c>
      <c r="H213" s="4">
        <v>1908</v>
      </c>
      <c r="I213" s="5">
        <f>+VLOOKUP($C213,Hoja2!$A$2:$B$7,2,0)</f>
        <v>272.50659999999999</v>
      </c>
      <c r="J213" s="4">
        <v>6</v>
      </c>
      <c r="K213" s="2">
        <f t="shared" si="6"/>
        <v>266.50659999999999</v>
      </c>
      <c r="L213" s="2">
        <f t="shared" si="7"/>
        <v>1865.5462</v>
      </c>
    </row>
    <row r="214" spans="1:12" ht="28.8" hidden="1" x14ac:dyDescent="0.3">
      <c r="A214" s="11" t="s">
        <v>132</v>
      </c>
      <c r="B214" s="1" t="s">
        <v>36</v>
      </c>
      <c r="C214" s="1" t="s">
        <v>21</v>
      </c>
      <c r="D214" s="3" t="s">
        <v>37</v>
      </c>
      <c r="E214" s="1">
        <v>18.350000000000001</v>
      </c>
      <c r="F214" s="4">
        <v>5000</v>
      </c>
      <c r="G214" s="4">
        <v>0</v>
      </c>
      <c r="H214" s="4">
        <v>5000</v>
      </c>
      <c r="I214" s="5">
        <f>+VLOOKUP($C214,Hoja2!$A$2:$B$7,2,0)</f>
        <v>272.50659999999999</v>
      </c>
      <c r="J214" s="4">
        <v>6</v>
      </c>
      <c r="K214" s="2">
        <f t="shared" si="6"/>
        <v>266.50659999999999</v>
      </c>
      <c r="L214" s="2">
        <f t="shared" si="7"/>
        <v>4890.3961100000006</v>
      </c>
    </row>
    <row r="215" spans="1:12" ht="28.8" hidden="1" x14ac:dyDescent="0.3">
      <c r="A215" s="11" t="s">
        <v>128</v>
      </c>
      <c r="B215" s="1" t="s">
        <v>36</v>
      </c>
      <c r="C215" s="1" t="s">
        <v>13</v>
      </c>
      <c r="D215" s="3" t="s">
        <v>37</v>
      </c>
      <c r="E215" s="1">
        <v>17.239999999999998</v>
      </c>
      <c r="F215" s="4">
        <v>5000</v>
      </c>
      <c r="G215" s="4">
        <v>0</v>
      </c>
      <c r="H215" s="4">
        <v>5000</v>
      </c>
      <c r="I215" s="5">
        <f>+VLOOKUP($C215,Hoja2!$A$2:$B$7,2,0)</f>
        <v>290.10039999999998</v>
      </c>
      <c r="J215" s="4">
        <v>6</v>
      </c>
      <c r="K215" s="2">
        <f t="shared" si="6"/>
        <v>284.10039999999998</v>
      </c>
      <c r="L215" s="2">
        <f t="shared" si="7"/>
        <v>4897.890895999999</v>
      </c>
    </row>
    <row r="216" spans="1:12" ht="28.8" hidden="1" x14ac:dyDescent="0.3">
      <c r="A216" s="11" t="s">
        <v>139</v>
      </c>
      <c r="B216" s="1" t="s">
        <v>36</v>
      </c>
      <c r="C216" s="1" t="s">
        <v>13</v>
      </c>
      <c r="D216" s="3" t="s">
        <v>37</v>
      </c>
      <c r="E216" s="1">
        <v>3.45</v>
      </c>
      <c r="F216" s="4">
        <v>1000</v>
      </c>
      <c r="G216" s="4">
        <v>0</v>
      </c>
      <c r="H216" s="4">
        <v>1000</v>
      </c>
      <c r="I216" s="5">
        <f>+VLOOKUP($C216,Hoja2!$A$2:$B$7,2,0)</f>
        <v>290.10039999999998</v>
      </c>
      <c r="J216" s="4">
        <v>6</v>
      </c>
      <c r="K216" s="2">
        <f t="shared" si="6"/>
        <v>284.10039999999998</v>
      </c>
      <c r="L216" s="2">
        <f t="shared" si="7"/>
        <v>980.14638000000002</v>
      </c>
    </row>
    <row r="217" spans="1:12" ht="28.8" hidden="1" x14ac:dyDescent="0.3">
      <c r="A217" s="11" t="s">
        <v>133</v>
      </c>
      <c r="B217" s="1" t="s">
        <v>36</v>
      </c>
      <c r="C217" s="1" t="s">
        <v>13</v>
      </c>
      <c r="D217" s="3" t="s">
        <v>37</v>
      </c>
      <c r="E217" s="1">
        <v>12.06</v>
      </c>
      <c r="F217" s="4">
        <v>3500</v>
      </c>
      <c r="G217" s="4">
        <v>0</v>
      </c>
      <c r="H217" s="4">
        <v>3500</v>
      </c>
      <c r="I217" s="5">
        <f>+VLOOKUP($C217,Hoja2!$A$2:$B$7,2,0)</f>
        <v>290.10039999999998</v>
      </c>
      <c r="J217" s="4">
        <v>6</v>
      </c>
      <c r="K217" s="2">
        <f t="shared" si="6"/>
        <v>284.10039999999998</v>
      </c>
      <c r="L217" s="2">
        <f t="shared" si="7"/>
        <v>3426.2508239999997</v>
      </c>
    </row>
    <row r="218" spans="1:12" ht="28.8" hidden="1" x14ac:dyDescent="0.3">
      <c r="A218" s="11" t="s">
        <v>126</v>
      </c>
      <c r="B218" s="1" t="s">
        <v>36</v>
      </c>
      <c r="C218" s="1" t="s">
        <v>13</v>
      </c>
      <c r="D218" s="3" t="s">
        <v>37</v>
      </c>
      <c r="E218" s="1">
        <v>6.89</v>
      </c>
      <c r="F218" s="4">
        <v>2000</v>
      </c>
      <c r="G218" s="4">
        <v>0</v>
      </c>
      <c r="H218" s="4">
        <v>2000</v>
      </c>
      <c r="I218" s="5">
        <f>+VLOOKUP($C218,Hoja2!$A$2:$B$7,2,0)</f>
        <v>290.10039999999998</v>
      </c>
      <c r="J218" s="4">
        <v>6</v>
      </c>
      <c r="K218" s="2">
        <f t="shared" si="6"/>
        <v>284.10039999999998</v>
      </c>
      <c r="L218" s="2">
        <f t="shared" si="7"/>
        <v>1957.4517559999997</v>
      </c>
    </row>
    <row r="219" spans="1:12" ht="28.8" hidden="1" x14ac:dyDescent="0.3">
      <c r="A219" s="11" t="s">
        <v>130</v>
      </c>
      <c r="B219" s="1" t="s">
        <v>36</v>
      </c>
      <c r="C219" s="1" t="s">
        <v>21</v>
      </c>
      <c r="D219" s="3" t="s">
        <v>37</v>
      </c>
      <c r="E219" s="1">
        <v>3.67</v>
      </c>
      <c r="F219" s="4">
        <v>1000</v>
      </c>
      <c r="G219" s="4">
        <v>0</v>
      </c>
      <c r="H219" s="4">
        <v>1000</v>
      </c>
      <c r="I219" s="5">
        <f>+VLOOKUP($C219,Hoja2!$A$2:$B$7,2,0)</f>
        <v>272.50659999999999</v>
      </c>
      <c r="J219" s="4">
        <v>6</v>
      </c>
      <c r="K219" s="2">
        <f t="shared" si="6"/>
        <v>266.50659999999999</v>
      </c>
      <c r="L219" s="2">
        <f t="shared" si="7"/>
        <v>978.07922199999996</v>
      </c>
    </row>
    <row r="220" spans="1:12" ht="28.8" hidden="1" x14ac:dyDescent="0.3">
      <c r="A220" s="11" t="s">
        <v>130</v>
      </c>
      <c r="B220" s="1" t="s">
        <v>36</v>
      </c>
      <c r="C220" s="1" t="s">
        <v>13</v>
      </c>
      <c r="D220" s="3" t="s">
        <v>37</v>
      </c>
      <c r="E220" s="1">
        <v>10.34</v>
      </c>
      <c r="F220" s="4">
        <v>3000</v>
      </c>
      <c r="G220" s="4">
        <v>0</v>
      </c>
      <c r="H220" s="4">
        <v>3000</v>
      </c>
      <c r="I220" s="5">
        <f>+VLOOKUP($C220,Hoja2!$A$2:$B$7,2,0)</f>
        <v>290.10039999999998</v>
      </c>
      <c r="J220" s="4">
        <v>6</v>
      </c>
      <c r="K220" s="2">
        <f t="shared" si="6"/>
        <v>284.10039999999998</v>
      </c>
      <c r="L220" s="2">
        <f t="shared" si="7"/>
        <v>2937.5981359999996</v>
      </c>
    </row>
    <row r="221" spans="1:12" ht="28.8" hidden="1" x14ac:dyDescent="0.3">
      <c r="A221" s="11" t="s">
        <v>138</v>
      </c>
      <c r="B221" s="1" t="s">
        <v>36</v>
      </c>
      <c r="C221" s="1" t="s">
        <v>13</v>
      </c>
      <c r="D221" s="3" t="s">
        <v>37</v>
      </c>
      <c r="E221" s="1">
        <v>8.6199999999999992</v>
      </c>
      <c r="F221" s="4">
        <v>2500</v>
      </c>
      <c r="G221" s="4">
        <v>0</v>
      </c>
      <c r="H221" s="4">
        <v>2500</v>
      </c>
      <c r="I221" s="5">
        <f>+VLOOKUP($C221,Hoja2!$A$2:$B$7,2,0)</f>
        <v>290.10039999999998</v>
      </c>
      <c r="J221" s="4">
        <v>6</v>
      </c>
      <c r="K221" s="2">
        <f t="shared" si="6"/>
        <v>284.10039999999998</v>
      </c>
      <c r="L221" s="2">
        <f t="shared" si="7"/>
        <v>2448.9454479999995</v>
      </c>
    </row>
    <row r="222" spans="1:12" ht="28.8" hidden="1" x14ac:dyDescent="0.3">
      <c r="A222" s="11">
        <v>45608</v>
      </c>
      <c r="B222" s="1" t="s">
        <v>36</v>
      </c>
      <c r="C222" s="1" t="s">
        <v>13</v>
      </c>
      <c r="D222" s="3" t="s">
        <v>37</v>
      </c>
      <c r="E222" s="1">
        <v>15.51</v>
      </c>
      <c r="F222" s="4">
        <v>4500</v>
      </c>
      <c r="G222" s="4">
        <v>0</v>
      </c>
      <c r="H222" s="4">
        <v>4500</v>
      </c>
      <c r="I222" s="5">
        <f>+VLOOKUP($C222,Hoja2!$A$2:$B$7,2,0)</f>
        <v>290.10039999999998</v>
      </c>
      <c r="J222" s="4">
        <v>6</v>
      </c>
      <c r="K222" s="2">
        <f t="shared" si="6"/>
        <v>284.10039999999998</v>
      </c>
      <c r="L222" s="2">
        <f t="shared" si="7"/>
        <v>4406.3972039999999</v>
      </c>
    </row>
    <row r="223" spans="1:12" ht="28.8" hidden="1" x14ac:dyDescent="0.3">
      <c r="A223" s="11">
        <v>45638</v>
      </c>
      <c r="B223" s="1" t="s">
        <v>36</v>
      </c>
      <c r="C223" s="1" t="s">
        <v>21</v>
      </c>
      <c r="D223" s="3" t="s">
        <v>37</v>
      </c>
      <c r="E223" s="1">
        <v>5.5</v>
      </c>
      <c r="F223" s="4">
        <v>1500</v>
      </c>
      <c r="G223" s="4">
        <v>0</v>
      </c>
      <c r="H223" s="4">
        <v>1500</v>
      </c>
      <c r="I223" s="5">
        <f>+VLOOKUP($C223,Hoja2!$A$2:$B$7,2,0)</f>
        <v>272.50659999999999</v>
      </c>
      <c r="J223" s="4">
        <v>6</v>
      </c>
      <c r="K223" s="2">
        <f t="shared" si="6"/>
        <v>266.50659999999999</v>
      </c>
      <c r="L223" s="2">
        <f t="shared" si="7"/>
        <v>1465.7863</v>
      </c>
    </row>
    <row r="224" spans="1:12" ht="28.8" hidden="1" x14ac:dyDescent="0.3">
      <c r="A224" s="11">
        <v>45334</v>
      </c>
      <c r="B224" s="1" t="s">
        <v>36</v>
      </c>
      <c r="C224" s="1" t="s">
        <v>21</v>
      </c>
      <c r="D224" s="3" t="s">
        <v>37</v>
      </c>
      <c r="E224" s="1">
        <v>7.34</v>
      </c>
      <c r="F224" s="4">
        <v>2000</v>
      </c>
      <c r="G224" s="4">
        <v>0</v>
      </c>
      <c r="H224" s="4">
        <v>2000</v>
      </c>
      <c r="I224" s="5">
        <f>+VLOOKUP($C224,Hoja2!$A$2:$B$7,2,0)</f>
        <v>272.50659999999999</v>
      </c>
      <c r="J224" s="4">
        <v>6</v>
      </c>
      <c r="K224" s="2">
        <f t="shared" si="6"/>
        <v>266.50659999999999</v>
      </c>
      <c r="L224" s="2">
        <f t="shared" si="7"/>
        <v>1956.1584439999999</v>
      </c>
    </row>
    <row r="225" spans="1:12" ht="28.8" hidden="1" x14ac:dyDescent="0.3">
      <c r="A225" s="11">
        <v>45424</v>
      </c>
      <c r="B225" s="1" t="s">
        <v>36</v>
      </c>
      <c r="C225" s="1" t="s">
        <v>13</v>
      </c>
      <c r="D225" s="3" t="s">
        <v>37</v>
      </c>
      <c r="E225" s="1">
        <v>8.6199999999999992</v>
      </c>
      <c r="F225" s="4">
        <v>2500</v>
      </c>
      <c r="G225" s="4">
        <v>0</v>
      </c>
      <c r="H225" s="4">
        <v>2500</v>
      </c>
      <c r="I225" s="5">
        <f>+VLOOKUP($C225,Hoja2!$A$2:$B$7,2,0)</f>
        <v>290.10039999999998</v>
      </c>
      <c r="J225" s="4">
        <v>6</v>
      </c>
      <c r="K225" s="2">
        <f t="shared" si="6"/>
        <v>284.10039999999998</v>
      </c>
      <c r="L225" s="2">
        <f t="shared" si="7"/>
        <v>2448.9454479999995</v>
      </c>
    </row>
    <row r="226" spans="1:12" ht="28.8" hidden="1" x14ac:dyDescent="0.3">
      <c r="A226" s="11">
        <v>45455</v>
      </c>
      <c r="B226" s="1" t="s">
        <v>36</v>
      </c>
      <c r="C226" s="1" t="s">
        <v>21</v>
      </c>
      <c r="D226" s="3" t="s">
        <v>37</v>
      </c>
      <c r="E226" s="1">
        <v>20.18</v>
      </c>
      <c r="F226" s="4">
        <v>5500</v>
      </c>
      <c r="G226" s="4">
        <v>0</v>
      </c>
      <c r="H226" s="4">
        <v>5500</v>
      </c>
      <c r="I226" s="5">
        <f>+VLOOKUP($C226,Hoja2!$A$2:$B$7,2,0)</f>
        <v>272.50659999999999</v>
      </c>
      <c r="J226" s="4">
        <v>6</v>
      </c>
      <c r="K226" s="2">
        <f t="shared" si="6"/>
        <v>266.50659999999999</v>
      </c>
      <c r="L226" s="2">
        <f t="shared" si="7"/>
        <v>5378.103188</v>
      </c>
    </row>
    <row r="227" spans="1:12" ht="28.8" hidden="1" x14ac:dyDescent="0.3">
      <c r="A227" s="11">
        <v>45485</v>
      </c>
      <c r="B227" s="1" t="s">
        <v>36</v>
      </c>
      <c r="C227" s="1" t="s">
        <v>13</v>
      </c>
      <c r="D227" s="3" t="s">
        <v>37</v>
      </c>
      <c r="E227" s="1">
        <v>3.45</v>
      </c>
      <c r="F227" s="4">
        <v>1000</v>
      </c>
      <c r="G227" s="4">
        <v>0</v>
      </c>
      <c r="H227" s="4">
        <v>1000</v>
      </c>
      <c r="I227" s="5">
        <f>+VLOOKUP($C227,Hoja2!$A$2:$B$7,2,0)</f>
        <v>290.10039999999998</v>
      </c>
      <c r="J227" s="4">
        <v>6</v>
      </c>
      <c r="K227" s="2">
        <f t="shared" si="6"/>
        <v>284.10039999999998</v>
      </c>
      <c r="L227" s="2">
        <f t="shared" si="7"/>
        <v>980.14638000000002</v>
      </c>
    </row>
    <row r="228" spans="1:12" ht="28.8" hidden="1" x14ac:dyDescent="0.3">
      <c r="A228" s="11" t="s">
        <v>133</v>
      </c>
      <c r="B228" s="1" t="s">
        <v>36</v>
      </c>
      <c r="C228" s="1" t="s">
        <v>21</v>
      </c>
      <c r="D228" s="3" t="s">
        <v>37</v>
      </c>
      <c r="E228" s="1">
        <v>3.67</v>
      </c>
      <c r="F228" s="4">
        <v>1000</v>
      </c>
      <c r="G228" s="4">
        <v>0</v>
      </c>
      <c r="H228" s="4">
        <v>1000</v>
      </c>
      <c r="I228" s="5">
        <f>+VLOOKUP($C228,Hoja2!$A$2:$B$7,2,0)</f>
        <v>272.50659999999999</v>
      </c>
      <c r="J228" s="4">
        <v>6</v>
      </c>
      <c r="K228" s="2">
        <f t="shared" si="6"/>
        <v>266.50659999999999</v>
      </c>
      <c r="L228" s="2">
        <f t="shared" si="7"/>
        <v>978.07922199999996</v>
      </c>
    </row>
    <row r="229" spans="1:12" ht="28.8" hidden="1" x14ac:dyDescent="0.3">
      <c r="A229" s="11">
        <v>45424</v>
      </c>
      <c r="B229" s="1" t="s">
        <v>78</v>
      </c>
      <c r="C229" s="1" t="s">
        <v>13</v>
      </c>
      <c r="D229" s="3" t="s">
        <v>79</v>
      </c>
      <c r="E229" s="1">
        <v>20.68</v>
      </c>
      <c r="F229" s="4">
        <v>6000</v>
      </c>
      <c r="G229" s="4">
        <v>0</v>
      </c>
      <c r="H229" s="4">
        <v>6000</v>
      </c>
      <c r="I229" s="5">
        <f>+VLOOKUP($C229,Hoja2!$A$2:$B$7,2,0)</f>
        <v>290.10039999999998</v>
      </c>
      <c r="J229" s="4">
        <v>6</v>
      </c>
      <c r="K229" s="2">
        <f t="shared" si="6"/>
        <v>284.10039999999998</v>
      </c>
      <c r="L229" s="2">
        <f t="shared" si="7"/>
        <v>5875.1962719999992</v>
      </c>
    </row>
    <row r="230" spans="1:12" ht="28.8" hidden="1" x14ac:dyDescent="0.3">
      <c r="A230" s="11" t="s">
        <v>126</v>
      </c>
      <c r="B230" s="1" t="s">
        <v>38</v>
      </c>
      <c r="C230" s="1" t="s">
        <v>11</v>
      </c>
      <c r="D230" s="3" t="s">
        <v>39</v>
      </c>
      <c r="E230" s="1">
        <v>13.38</v>
      </c>
      <c r="F230" s="4">
        <v>3200</v>
      </c>
      <c r="G230" s="4">
        <v>0</v>
      </c>
      <c r="H230" s="4">
        <v>3200</v>
      </c>
      <c r="I230" s="5">
        <f>+VLOOKUP($C230,Hoja2!$A$2:$B$7,2,0)</f>
        <v>239.10159999999999</v>
      </c>
      <c r="J230" s="4">
        <v>6</v>
      </c>
      <c r="K230" s="2">
        <f t="shared" si="6"/>
        <v>233.10159999999999</v>
      </c>
      <c r="L230" s="2">
        <f t="shared" si="7"/>
        <v>3118.8994080000002</v>
      </c>
    </row>
    <row r="231" spans="1:12" ht="28.8" hidden="1" x14ac:dyDescent="0.3">
      <c r="A231" s="11" t="s">
        <v>138</v>
      </c>
      <c r="B231" s="1" t="s">
        <v>38</v>
      </c>
      <c r="C231" s="1" t="s">
        <v>11</v>
      </c>
      <c r="D231" s="3" t="s">
        <v>39</v>
      </c>
      <c r="E231" s="1">
        <v>9.39</v>
      </c>
      <c r="F231" s="4">
        <v>2246</v>
      </c>
      <c r="G231" s="4">
        <v>0</v>
      </c>
      <c r="H231" s="4">
        <v>2246</v>
      </c>
      <c r="I231" s="5">
        <f>+VLOOKUP($C231,Hoja2!$A$2:$B$7,2,0)</f>
        <v>239.10159999999999</v>
      </c>
      <c r="J231" s="4">
        <v>6</v>
      </c>
      <c r="K231" s="2">
        <f t="shared" si="6"/>
        <v>233.10159999999999</v>
      </c>
      <c r="L231" s="2">
        <f t="shared" si="7"/>
        <v>2188.824024</v>
      </c>
    </row>
    <row r="232" spans="1:12" ht="28.8" hidden="1" x14ac:dyDescent="0.3">
      <c r="A232" s="11" t="s">
        <v>140</v>
      </c>
      <c r="B232" s="1" t="s">
        <v>38</v>
      </c>
      <c r="C232" s="1" t="s">
        <v>9</v>
      </c>
      <c r="D232" s="3" t="s">
        <v>39</v>
      </c>
      <c r="E232" s="1">
        <v>1.88</v>
      </c>
      <c r="F232" s="4">
        <v>416</v>
      </c>
      <c r="G232" s="4">
        <v>0</v>
      </c>
      <c r="H232" s="4">
        <v>416</v>
      </c>
      <c r="I232" s="5">
        <f>+VLOOKUP($C232,Hoja2!$A$2:$B$7,2,0)</f>
        <v>221.59520000000001</v>
      </c>
      <c r="J232" s="4">
        <v>6</v>
      </c>
      <c r="K232" s="2">
        <f t="shared" si="6"/>
        <v>215.59520000000001</v>
      </c>
      <c r="L232" s="2">
        <f t="shared" si="7"/>
        <v>405.31897599999996</v>
      </c>
    </row>
    <row r="233" spans="1:12" ht="28.8" hidden="1" x14ac:dyDescent="0.3">
      <c r="A233" s="11" t="s">
        <v>132</v>
      </c>
      <c r="B233" s="1" t="s">
        <v>38</v>
      </c>
      <c r="C233" s="1" t="s">
        <v>13</v>
      </c>
      <c r="D233" s="3" t="s">
        <v>39</v>
      </c>
      <c r="E233" s="1">
        <v>3.45</v>
      </c>
      <c r="F233" s="4">
        <v>1000</v>
      </c>
      <c r="G233" s="4">
        <v>0</v>
      </c>
      <c r="H233" s="4">
        <v>1000</v>
      </c>
      <c r="I233" s="5">
        <f>+VLOOKUP($C233,Hoja2!$A$2:$B$7,2,0)</f>
        <v>290.10039999999998</v>
      </c>
      <c r="J233" s="4">
        <v>6</v>
      </c>
      <c r="K233" s="2">
        <f t="shared" si="6"/>
        <v>284.10039999999998</v>
      </c>
      <c r="L233" s="2">
        <f t="shared" si="7"/>
        <v>980.14638000000002</v>
      </c>
    </row>
    <row r="234" spans="1:12" ht="28.8" hidden="1" x14ac:dyDescent="0.3">
      <c r="A234" s="11">
        <v>45394</v>
      </c>
      <c r="B234" s="1" t="s">
        <v>38</v>
      </c>
      <c r="C234" s="1" t="s">
        <v>11</v>
      </c>
      <c r="D234" s="3" t="s">
        <v>39</v>
      </c>
      <c r="E234" s="1">
        <v>5.71</v>
      </c>
      <c r="F234" s="4">
        <v>1366</v>
      </c>
      <c r="G234" s="4">
        <v>0</v>
      </c>
      <c r="H234" s="4">
        <v>1366</v>
      </c>
      <c r="I234" s="5">
        <f>+VLOOKUP($C234,Hoja2!$A$2:$B$7,2,0)</f>
        <v>239.10159999999999</v>
      </c>
      <c r="J234" s="4">
        <v>6</v>
      </c>
      <c r="K234" s="2">
        <f t="shared" si="6"/>
        <v>233.10159999999999</v>
      </c>
      <c r="L234" s="2">
        <f t="shared" si="7"/>
        <v>1331.0101359999999</v>
      </c>
    </row>
    <row r="235" spans="1:12" ht="28.8" hidden="1" x14ac:dyDescent="0.3">
      <c r="A235" s="11">
        <v>45363</v>
      </c>
      <c r="B235" s="1" t="s">
        <v>80</v>
      </c>
      <c r="C235" s="1" t="s">
        <v>21</v>
      </c>
      <c r="D235" s="3" t="s">
        <v>81</v>
      </c>
      <c r="E235" s="1">
        <v>20.18</v>
      </c>
      <c r="F235" s="4">
        <v>5500</v>
      </c>
      <c r="G235" s="4">
        <v>0</v>
      </c>
      <c r="H235" s="4">
        <v>5500</v>
      </c>
      <c r="I235" s="5">
        <f>+VLOOKUP($C235,Hoja2!$A$2:$B$7,2,0)</f>
        <v>272.50659999999999</v>
      </c>
      <c r="J235" s="4">
        <v>6</v>
      </c>
      <c r="K235" s="2">
        <f t="shared" si="6"/>
        <v>266.50659999999999</v>
      </c>
      <c r="L235" s="2">
        <f t="shared" si="7"/>
        <v>5378.103188</v>
      </c>
    </row>
    <row r="236" spans="1:12" ht="28.8" hidden="1" x14ac:dyDescent="0.3">
      <c r="A236" s="11">
        <v>45363</v>
      </c>
      <c r="B236" s="1" t="s">
        <v>80</v>
      </c>
      <c r="C236" s="1" t="s">
        <v>13</v>
      </c>
      <c r="D236" s="3" t="s">
        <v>81</v>
      </c>
      <c r="E236" s="1">
        <v>15.51</v>
      </c>
      <c r="F236" s="4">
        <v>4500</v>
      </c>
      <c r="G236" s="4">
        <v>0</v>
      </c>
      <c r="H236" s="4">
        <v>4500</v>
      </c>
      <c r="I236" s="5">
        <f>+VLOOKUP($C236,Hoja2!$A$2:$B$7,2,0)</f>
        <v>290.10039999999998</v>
      </c>
      <c r="J236" s="4">
        <v>6</v>
      </c>
      <c r="K236" s="2">
        <f t="shared" si="6"/>
        <v>284.10039999999998</v>
      </c>
      <c r="L236" s="2">
        <f t="shared" si="7"/>
        <v>4406.3972039999999</v>
      </c>
    </row>
    <row r="237" spans="1:12" ht="28.8" hidden="1" x14ac:dyDescent="0.3">
      <c r="A237" s="11">
        <v>45363</v>
      </c>
      <c r="B237" s="1" t="s">
        <v>80</v>
      </c>
      <c r="C237" s="1" t="s">
        <v>13</v>
      </c>
      <c r="D237" s="3" t="s">
        <v>81</v>
      </c>
      <c r="E237" s="1">
        <v>18.899999999999999</v>
      </c>
      <c r="F237" s="4">
        <v>5482</v>
      </c>
      <c r="G237" s="4">
        <v>0</v>
      </c>
      <c r="H237" s="4">
        <v>5482</v>
      </c>
      <c r="I237" s="5">
        <f>+VLOOKUP($C237,Hoja2!$A$2:$B$7,2,0)</f>
        <v>290.10039999999998</v>
      </c>
      <c r="J237" s="4">
        <v>6</v>
      </c>
      <c r="K237" s="2">
        <f t="shared" si="6"/>
        <v>284.10039999999998</v>
      </c>
      <c r="L237" s="2">
        <f t="shared" si="7"/>
        <v>5369.4975599999989</v>
      </c>
    </row>
    <row r="238" spans="1:12" ht="28.8" hidden="1" x14ac:dyDescent="0.3">
      <c r="A238" s="11">
        <v>45363</v>
      </c>
      <c r="B238" s="1" t="s">
        <v>80</v>
      </c>
      <c r="C238" s="1" t="s">
        <v>21</v>
      </c>
      <c r="D238" s="3" t="s">
        <v>81</v>
      </c>
      <c r="E238" s="1">
        <v>16.579999999999998</v>
      </c>
      <c r="F238" s="4">
        <v>4518</v>
      </c>
      <c r="G238" s="4">
        <v>0</v>
      </c>
      <c r="H238" s="4">
        <v>4518</v>
      </c>
      <c r="I238" s="5">
        <f>+VLOOKUP($C238,Hoja2!$A$2:$B$7,2,0)</f>
        <v>272.50659999999999</v>
      </c>
      <c r="J238" s="4">
        <v>6</v>
      </c>
      <c r="K238" s="2">
        <f t="shared" si="6"/>
        <v>266.50659999999999</v>
      </c>
      <c r="L238" s="2">
        <f t="shared" si="7"/>
        <v>4418.6794279999995</v>
      </c>
    </row>
    <row r="239" spans="1:12" ht="28.8" hidden="1" x14ac:dyDescent="0.3">
      <c r="A239" s="11">
        <v>45394</v>
      </c>
      <c r="B239" s="1" t="s">
        <v>80</v>
      </c>
      <c r="C239" s="1" t="s">
        <v>13</v>
      </c>
      <c r="D239" s="3" t="s">
        <v>81</v>
      </c>
      <c r="E239" s="1">
        <v>15.02</v>
      </c>
      <c r="F239" s="4">
        <v>4356</v>
      </c>
      <c r="G239" s="4">
        <v>0</v>
      </c>
      <c r="H239" s="4">
        <v>4356</v>
      </c>
      <c r="I239" s="5">
        <f>+VLOOKUP($C239,Hoja2!$A$2:$B$7,2,0)</f>
        <v>290.10039999999998</v>
      </c>
      <c r="J239" s="4">
        <v>6</v>
      </c>
      <c r="K239" s="2">
        <f t="shared" si="6"/>
        <v>284.10039999999998</v>
      </c>
      <c r="L239" s="2">
        <f t="shared" si="7"/>
        <v>4267.1880079999992</v>
      </c>
    </row>
    <row r="240" spans="1:12" ht="28.8" hidden="1" x14ac:dyDescent="0.3">
      <c r="A240" s="11">
        <v>45394</v>
      </c>
      <c r="B240" s="1" t="s">
        <v>80</v>
      </c>
      <c r="C240" s="1" t="s">
        <v>13</v>
      </c>
      <c r="D240" s="3" t="s">
        <v>81</v>
      </c>
      <c r="E240" s="1">
        <v>19.46</v>
      </c>
      <c r="F240" s="4">
        <v>5644</v>
      </c>
      <c r="G240" s="4">
        <v>0</v>
      </c>
      <c r="H240" s="4">
        <v>5644</v>
      </c>
      <c r="I240" s="5">
        <f>+VLOOKUP($C240,Hoja2!$A$2:$B$7,2,0)</f>
        <v>290.10039999999998</v>
      </c>
      <c r="J240" s="4">
        <v>6</v>
      </c>
      <c r="K240" s="2">
        <f t="shared" si="6"/>
        <v>284.10039999999998</v>
      </c>
      <c r="L240" s="2">
        <f t="shared" si="7"/>
        <v>5528.5937839999997</v>
      </c>
    </row>
    <row r="241" spans="1:12" ht="28.8" hidden="1" x14ac:dyDescent="0.3">
      <c r="A241" s="11">
        <v>45485</v>
      </c>
      <c r="B241" s="1" t="s">
        <v>82</v>
      </c>
      <c r="C241" s="1" t="s">
        <v>9</v>
      </c>
      <c r="D241" s="3" t="s">
        <v>83</v>
      </c>
      <c r="E241" s="1">
        <v>14.57</v>
      </c>
      <c r="F241" s="4">
        <v>3228</v>
      </c>
      <c r="G241" s="4">
        <v>0</v>
      </c>
      <c r="H241" s="4">
        <v>3228</v>
      </c>
      <c r="I241" s="5">
        <f>+VLOOKUP($C241,Hoja2!$A$2:$B$7,2,0)</f>
        <v>221.59520000000001</v>
      </c>
      <c r="J241" s="4">
        <v>6</v>
      </c>
      <c r="K241" s="2">
        <f t="shared" si="6"/>
        <v>215.59520000000001</v>
      </c>
      <c r="L241" s="2">
        <f t="shared" si="7"/>
        <v>3141.222064</v>
      </c>
    </row>
    <row r="242" spans="1:12" ht="28.8" hidden="1" x14ac:dyDescent="0.3">
      <c r="A242" s="11">
        <v>45363</v>
      </c>
      <c r="B242" s="1" t="s">
        <v>84</v>
      </c>
      <c r="C242" s="1" t="s">
        <v>9</v>
      </c>
      <c r="D242" s="3" t="s">
        <v>85</v>
      </c>
      <c r="E242" s="1">
        <v>90.25</v>
      </c>
      <c r="F242" s="4">
        <v>20000</v>
      </c>
      <c r="G242" s="4">
        <v>0</v>
      </c>
      <c r="H242" s="4">
        <v>20000</v>
      </c>
      <c r="I242" s="5">
        <f>+VLOOKUP($C242,Hoja2!$A$2:$B$7,2,0)</f>
        <v>221.59520000000001</v>
      </c>
      <c r="J242" s="4">
        <v>6</v>
      </c>
      <c r="K242" s="2">
        <f t="shared" si="6"/>
        <v>215.59520000000001</v>
      </c>
      <c r="L242" s="2">
        <f t="shared" si="7"/>
        <v>19457.466800000002</v>
      </c>
    </row>
    <row r="243" spans="1:12" ht="28.8" hidden="1" x14ac:dyDescent="0.3">
      <c r="A243" s="11" t="s">
        <v>140</v>
      </c>
      <c r="B243" s="1" t="s">
        <v>84</v>
      </c>
      <c r="C243" s="1" t="s">
        <v>9</v>
      </c>
      <c r="D243" s="3" t="s">
        <v>85</v>
      </c>
      <c r="E243" s="1">
        <v>90.25</v>
      </c>
      <c r="F243" s="4">
        <v>20000</v>
      </c>
      <c r="G243" s="4">
        <v>0</v>
      </c>
      <c r="H243" s="4">
        <v>20000</v>
      </c>
      <c r="I243" s="5">
        <f>+VLOOKUP($C243,Hoja2!$A$2:$B$7,2,0)</f>
        <v>221.59520000000001</v>
      </c>
      <c r="J243" s="4">
        <v>6</v>
      </c>
      <c r="K243" s="2">
        <f t="shared" si="6"/>
        <v>215.59520000000001</v>
      </c>
      <c r="L243" s="2">
        <f t="shared" si="7"/>
        <v>19457.466800000002</v>
      </c>
    </row>
    <row r="244" spans="1:12" ht="28.8" hidden="1" x14ac:dyDescent="0.3">
      <c r="A244" s="11" t="s">
        <v>132</v>
      </c>
      <c r="B244" s="1" t="s">
        <v>19</v>
      </c>
      <c r="C244" s="1" t="s">
        <v>21</v>
      </c>
      <c r="D244" s="3" t="s">
        <v>20</v>
      </c>
      <c r="E244" s="1">
        <v>11.01</v>
      </c>
      <c r="F244" s="4">
        <v>3000</v>
      </c>
      <c r="G244" s="4">
        <v>0</v>
      </c>
      <c r="H244" s="4">
        <v>3000</v>
      </c>
      <c r="I244" s="5">
        <f>+VLOOKUP($C244,Hoja2!$A$2:$B$7,2,0)</f>
        <v>272.50659999999999</v>
      </c>
      <c r="J244" s="4">
        <v>6</v>
      </c>
      <c r="K244" s="2">
        <f t="shared" si="6"/>
        <v>266.50659999999999</v>
      </c>
      <c r="L244" s="2">
        <f t="shared" si="7"/>
        <v>2934.237666</v>
      </c>
    </row>
    <row r="245" spans="1:12" ht="28.8" hidden="1" x14ac:dyDescent="0.3">
      <c r="A245" s="11" t="s">
        <v>132</v>
      </c>
      <c r="B245" s="1" t="s">
        <v>19</v>
      </c>
      <c r="C245" s="1" t="s">
        <v>9</v>
      </c>
      <c r="D245" s="3" t="s">
        <v>20</v>
      </c>
      <c r="E245" s="1">
        <v>45.13</v>
      </c>
      <c r="F245" s="4">
        <v>10000</v>
      </c>
      <c r="G245" s="4">
        <v>0</v>
      </c>
      <c r="H245" s="4">
        <v>10000</v>
      </c>
      <c r="I245" s="5">
        <f>+VLOOKUP($C245,Hoja2!$A$2:$B$7,2,0)</f>
        <v>221.59520000000001</v>
      </c>
      <c r="J245" s="4">
        <v>6</v>
      </c>
      <c r="K245" s="2">
        <f t="shared" si="6"/>
        <v>215.59520000000001</v>
      </c>
      <c r="L245" s="2">
        <f t="shared" si="7"/>
        <v>9729.8113760000015</v>
      </c>
    </row>
    <row r="246" spans="1:12" ht="28.8" hidden="1" x14ac:dyDescent="0.3">
      <c r="A246" s="11" t="s">
        <v>132</v>
      </c>
      <c r="B246" s="1" t="s">
        <v>19</v>
      </c>
      <c r="C246" s="1" t="s">
        <v>9</v>
      </c>
      <c r="D246" s="3" t="s">
        <v>20</v>
      </c>
      <c r="E246" s="1">
        <v>44.87</v>
      </c>
      <c r="F246" s="4">
        <v>9944</v>
      </c>
      <c r="G246" s="4">
        <v>0</v>
      </c>
      <c r="H246" s="4">
        <v>9944</v>
      </c>
      <c r="I246" s="5">
        <f>+VLOOKUP($C246,Hoja2!$A$2:$B$7,2,0)</f>
        <v>221.59520000000001</v>
      </c>
      <c r="J246" s="4">
        <v>6</v>
      </c>
      <c r="K246" s="2">
        <f t="shared" si="6"/>
        <v>215.59520000000001</v>
      </c>
      <c r="L246" s="2">
        <f t="shared" si="7"/>
        <v>9673.7566239999996</v>
      </c>
    </row>
    <row r="247" spans="1:12" ht="28.8" hidden="1" x14ac:dyDescent="0.3">
      <c r="A247" s="11" t="s">
        <v>130</v>
      </c>
      <c r="B247" s="1" t="s">
        <v>19</v>
      </c>
      <c r="C247" s="1" t="s">
        <v>9</v>
      </c>
      <c r="D247" s="3" t="s">
        <v>20</v>
      </c>
      <c r="E247" s="1">
        <v>29.78</v>
      </c>
      <c r="F247" s="4">
        <v>6600</v>
      </c>
      <c r="G247" s="4">
        <v>0</v>
      </c>
      <c r="H247" s="4">
        <v>6600</v>
      </c>
      <c r="I247" s="5">
        <f>+VLOOKUP($C247,Hoja2!$A$2:$B$7,2,0)</f>
        <v>221.59520000000001</v>
      </c>
      <c r="J247" s="4">
        <v>6</v>
      </c>
      <c r="K247" s="2">
        <f t="shared" si="6"/>
        <v>215.59520000000001</v>
      </c>
      <c r="L247" s="2">
        <f t="shared" si="7"/>
        <v>6420.425056</v>
      </c>
    </row>
    <row r="248" spans="1:12" ht="28.8" hidden="1" x14ac:dyDescent="0.3">
      <c r="A248" s="11" t="s">
        <v>130</v>
      </c>
      <c r="B248" s="1" t="s">
        <v>19</v>
      </c>
      <c r="C248" s="1" t="s">
        <v>9</v>
      </c>
      <c r="D248" s="3" t="s">
        <v>20</v>
      </c>
      <c r="E248" s="1">
        <v>45.13</v>
      </c>
      <c r="F248" s="4">
        <v>10000</v>
      </c>
      <c r="G248" s="4">
        <v>0</v>
      </c>
      <c r="H248" s="4">
        <v>10000</v>
      </c>
      <c r="I248" s="5">
        <f>+VLOOKUP($C248,Hoja2!$A$2:$B$7,2,0)</f>
        <v>221.59520000000001</v>
      </c>
      <c r="J248" s="4">
        <v>6</v>
      </c>
      <c r="K248" s="2">
        <f t="shared" si="6"/>
        <v>215.59520000000001</v>
      </c>
      <c r="L248" s="2">
        <f t="shared" si="7"/>
        <v>9729.8113760000015</v>
      </c>
    </row>
    <row r="249" spans="1:12" ht="28.8" hidden="1" x14ac:dyDescent="0.3">
      <c r="A249" s="11" t="s">
        <v>130</v>
      </c>
      <c r="B249" s="1" t="s">
        <v>19</v>
      </c>
      <c r="C249" s="1" t="s">
        <v>9</v>
      </c>
      <c r="D249" s="3" t="s">
        <v>20</v>
      </c>
      <c r="E249" s="1">
        <v>15.34</v>
      </c>
      <c r="F249" s="4">
        <v>3400</v>
      </c>
      <c r="G249" s="4">
        <v>0</v>
      </c>
      <c r="H249" s="4">
        <v>3400</v>
      </c>
      <c r="I249" s="5">
        <f>+VLOOKUP($C249,Hoja2!$A$2:$B$7,2,0)</f>
        <v>221.59520000000001</v>
      </c>
      <c r="J249" s="4">
        <v>6</v>
      </c>
      <c r="K249" s="2">
        <f t="shared" si="6"/>
        <v>215.59520000000001</v>
      </c>
      <c r="L249" s="2">
        <f t="shared" si="7"/>
        <v>3307.230368</v>
      </c>
    </row>
    <row r="250" spans="1:12" ht="28.8" hidden="1" x14ac:dyDescent="0.3">
      <c r="A250" s="11" t="s">
        <v>133</v>
      </c>
      <c r="B250" s="1" t="s">
        <v>48</v>
      </c>
      <c r="C250" s="1" t="s">
        <v>13</v>
      </c>
      <c r="D250" s="3" t="s">
        <v>49</v>
      </c>
      <c r="E250" s="1">
        <v>8.6199999999999992</v>
      </c>
      <c r="F250" s="4">
        <v>2500</v>
      </c>
      <c r="G250" s="4">
        <v>0</v>
      </c>
      <c r="H250" s="4">
        <v>2500</v>
      </c>
      <c r="I250" s="5">
        <f>+VLOOKUP($C250,Hoja2!$A$2:$B$7,2,0)</f>
        <v>290.10039999999998</v>
      </c>
      <c r="J250" s="4">
        <v>6</v>
      </c>
      <c r="K250" s="2">
        <f t="shared" si="6"/>
        <v>284.10039999999998</v>
      </c>
      <c r="L250" s="2">
        <f t="shared" si="7"/>
        <v>2448.9454479999995</v>
      </c>
    </row>
    <row r="251" spans="1:12" ht="28.8" hidden="1" x14ac:dyDescent="0.3">
      <c r="A251" s="11">
        <v>45394</v>
      </c>
      <c r="B251" s="1" t="s">
        <v>86</v>
      </c>
      <c r="C251" s="1" t="s">
        <v>9</v>
      </c>
      <c r="D251" s="3" t="s">
        <v>87</v>
      </c>
      <c r="E251" s="1">
        <v>45.12</v>
      </c>
      <c r="F251" s="4">
        <v>9999</v>
      </c>
      <c r="G251" s="4">
        <v>0</v>
      </c>
      <c r="H251" s="4">
        <v>9999</v>
      </c>
      <c r="I251" s="5">
        <f>+VLOOKUP($C251,Hoja2!$A$2:$B$7,2,0)</f>
        <v>221.59520000000001</v>
      </c>
      <c r="J251" s="4">
        <v>6</v>
      </c>
      <c r="K251" s="2">
        <f t="shared" si="6"/>
        <v>215.59520000000001</v>
      </c>
      <c r="L251" s="2">
        <f t="shared" si="7"/>
        <v>9727.6554240000005</v>
      </c>
    </row>
    <row r="252" spans="1:12" ht="28.8" hidden="1" x14ac:dyDescent="0.3">
      <c r="A252" s="11">
        <v>45485</v>
      </c>
      <c r="B252" s="1" t="s">
        <v>88</v>
      </c>
      <c r="C252" s="1" t="s">
        <v>13</v>
      </c>
      <c r="D252" s="3" t="s">
        <v>89</v>
      </c>
      <c r="E252" s="1">
        <v>10.34</v>
      </c>
      <c r="F252" s="4">
        <v>3000</v>
      </c>
      <c r="G252" s="4">
        <v>0</v>
      </c>
      <c r="H252" s="4">
        <v>3000</v>
      </c>
      <c r="I252" s="5">
        <f>+VLOOKUP($C252,Hoja2!$A$2:$B$7,2,0)</f>
        <v>290.10039999999998</v>
      </c>
      <c r="J252" s="4">
        <v>6</v>
      </c>
      <c r="K252" s="2">
        <f t="shared" si="6"/>
        <v>284.10039999999998</v>
      </c>
      <c r="L252" s="2">
        <f t="shared" si="7"/>
        <v>2937.5981359999996</v>
      </c>
    </row>
    <row r="253" spans="1:12" hidden="1" x14ac:dyDescent="0.3">
      <c r="A253" s="11">
        <v>45334</v>
      </c>
      <c r="B253" s="1" t="s">
        <v>90</v>
      </c>
      <c r="C253" s="1" t="s">
        <v>9</v>
      </c>
      <c r="D253" s="3" t="s">
        <v>91</v>
      </c>
      <c r="E253" s="1">
        <v>4.51</v>
      </c>
      <c r="F253" s="4">
        <v>1000</v>
      </c>
      <c r="G253" s="4">
        <v>0</v>
      </c>
      <c r="H253" s="4">
        <v>1000</v>
      </c>
      <c r="I253" s="5">
        <f>+VLOOKUP($C253,Hoja2!$A$2:$B$7,2,0)</f>
        <v>221.59520000000001</v>
      </c>
      <c r="J253" s="4">
        <v>6</v>
      </c>
      <c r="K253" s="2">
        <f t="shared" si="6"/>
        <v>215.59520000000001</v>
      </c>
      <c r="L253" s="2">
        <f t="shared" si="7"/>
        <v>972.33435199999997</v>
      </c>
    </row>
    <row r="254" spans="1:12" hidden="1" x14ac:dyDescent="0.3">
      <c r="A254" s="11">
        <v>45455</v>
      </c>
      <c r="B254" s="1" t="s">
        <v>90</v>
      </c>
      <c r="C254" s="1" t="s">
        <v>9</v>
      </c>
      <c r="D254" s="3" t="s">
        <v>91</v>
      </c>
      <c r="E254" s="1">
        <v>10.74</v>
      </c>
      <c r="F254" s="4">
        <v>2380</v>
      </c>
      <c r="G254" s="4">
        <v>0</v>
      </c>
      <c r="H254" s="4">
        <v>2380</v>
      </c>
      <c r="I254" s="5">
        <f>+VLOOKUP($C254,Hoja2!$A$2:$B$7,2,0)</f>
        <v>221.59520000000001</v>
      </c>
      <c r="J254" s="4">
        <v>6</v>
      </c>
      <c r="K254" s="2">
        <f t="shared" si="6"/>
        <v>215.59520000000001</v>
      </c>
      <c r="L254" s="2">
        <f t="shared" si="7"/>
        <v>2315.492448</v>
      </c>
    </row>
    <row r="255" spans="1:12" hidden="1" x14ac:dyDescent="0.3">
      <c r="A255" s="11">
        <v>45577</v>
      </c>
      <c r="B255" s="1" t="s">
        <v>90</v>
      </c>
      <c r="C255" s="1" t="s">
        <v>9</v>
      </c>
      <c r="D255" s="3" t="s">
        <v>91</v>
      </c>
      <c r="E255" s="1">
        <v>4.51</v>
      </c>
      <c r="F255" s="4">
        <v>1000</v>
      </c>
      <c r="G255" s="4">
        <v>0</v>
      </c>
      <c r="H255" s="4">
        <v>1000</v>
      </c>
      <c r="I255" s="5">
        <f>+VLOOKUP($C255,Hoja2!$A$2:$B$7,2,0)</f>
        <v>221.59520000000001</v>
      </c>
      <c r="J255" s="4">
        <v>6</v>
      </c>
      <c r="K255" s="2">
        <f t="shared" si="6"/>
        <v>215.59520000000001</v>
      </c>
      <c r="L255" s="2">
        <f t="shared" si="7"/>
        <v>972.33435199999997</v>
      </c>
    </row>
    <row r="256" spans="1:12" hidden="1" x14ac:dyDescent="0.3">
      <c r="A256" s="11">
        <v>45608</v>
      </c>
      <c r="B256" s="1" t="s">
        <v>90</v>
      </c>
      <c r="C256" s="1" t="s">
        <v>9</v>
      </c>
      <c r="D256" s="3" t="s">
        <v>91</v>
      </c>
      <c r="E256" s="1">
        <v>9.0299999999999994</v>
      </c>
      <c r="F256" s="4">
        <v>2000</v>
      </c>
      <c r="G256" s="4">
        <v>0</v>
      </c>
      <c r="H256" s="4">
        <v>2000</v>
      </c>
      <c r="I256" s="5">
        <f>+VLOOKUP($C256,Hoja2!$A$2:$B$7,2,0)</f>
        <v>221.59520000000001</v>
      </c>
      <c r="J256" s="4">
        <v>6</v>
      </c>
      <c r="K256" s="2">
        <f t="shared" si="6"/>
        <v>215.59520000000001</v>
      </c>
      <c r="L256" s="2">
        <f t="shared" si="7"/>
        <v>1946.824656</v>
      </c>
    </row>
    <row r="257" spans="1:12" hidden="1" x14ac:dyDescent="0.3">
      <c r="A257" s="11">
        <v>45608</v>
      </c>
      <c r="B257" s="1" t="s">
        <v>90</v>
      </c>
      <c r="C257" s="1" t="s">
        <v>9</v>
      </c>
      <c r="D257" s="3" t="s">
        <v>91</v>
      </c>
      <c r="E257" s="1">
        <v>9.0299999999999994</v>
      </c>
      <c r="F257" s="4">
        <v>2000</v>
      </c>
      <c r="G257" s="4">
        <v>0</v>
      </c>
      <c r="H257" s="4">
        <v>2000</v>
      </c>
      <c r="I257" s="5">
        <f>+VLOOKUP($C257,Hoja2!$A$2:$B$7,2,0)</f>
        <v>221.59520000000001</v>
      </c>
      <c r="J257" s="4">
        <v>6</v>
      </c>
      <c r="K257" s="2">
        <f t="shared" si="6"/>
        <v>215.59520000000001</v>
      </c>
      <c r="L257" s="2">
        <f t="shared" si="7"/>
        <v>1946.824656</v>
      </c>
    </row>
    <row r="258" spans="1:12" hidden="1" x14ac:dyDescent="0.3">
      <c r="A258" s="11">
        <v>45638</v>
      </c>
      <c r="B258" s="1" t="s">
        <v>90</v>
      </c>
      <c r="C258" s="1" t="s">
        <v>9</v>
      </c>
      <c r="D258" s="3" t="s">
        <v>91</v>
      </c>
      <c r="E258" s="1">
        <v>4.51</v>
      </c>
      <c r="F258" s="4">
        <v>1000</v>
      </c>
      <c r="G258" s="4">
        <v>0</v>
      </c>
      <c r="H258" s="4">
        <v>1000</v>
      </c>
      <c r="I258" s="5">
        <f>+VLOOKUP($C258,Hoja2!$A$2:$B$7,2,0)</f>
        <v>221.59520000000001</v>
      </c>
      <c r="J258" s="4">
        <v>6</v>
      </c>
      <c r="K258" s="2">
        <f t="shared" si="6"/>
        <v>215.59520000000001</v>
      </c>
      <c r="L258" s="2">
        <f t="shared" si="7"/>
        <v>972.33435199999997</v>
      </c>
    </row>
    <row r="259" spans="1:12" hidden="1" x14ac:dyDescent="0.3">
      <c r="A259" s="11">
        <v>45638</v>
      </c>
      <c r="B259" s="1" t="s">
        <v>90</v>
      </c>
      <c r="C259" s="1" t="s">
        <v>9</v>
      </c>
      <c r="D259" s="3" t="s">
        <v>91</v>
      </c>
      <c r="E259" s="1">
        <v>6.77</v>
      </c>
      <c r="F259" s="4">
        <v>1500</v>
      </c>
      <c r="G259" s="4">
        <v>0</v>
      </c>
      <c r="H259" s="4">
        <v>1500</v>
      </c>
      <c r="I259" s="5">
        <f>+VLOOKUP($C259,Hoja2!$A$2:$B$7,2,0)</f>
        <v>221.59520000000001</v>
      </c>
      <c r="J259" s="4">
        <v>6</v>
      </c>
      <c r="K259" s="2">
        <f t="shared" ref="K259:K322" si="8">+I259-J259</f>
        <v>215.59520000000001</v>
      </c>
      <c r="L259" s="2">
        <f t="shared" ref="L259:L322" si="9">+K259*E259</f>
        <v>1459.579504</v>
      </c>
    </row>
    <row r="260" spans="1:12" hidden="1" x14ac:dyDescent="0.3">
      <c r="A260" s="11">
        <v>45334</v>
      </c>
      <c r="B260" s="1" t="s">
        <v>90</v>
      </c>
      <c r="C260" s="1" t="s">
        <v>9</v>
      </c>
      <c r="D260" s="3" t="s">
        <v>91</v>
      </c>
      <c r="E260" s="1">
        <v>13.54</v>
      </c>
      <c r="F260" s="4">
        <v>3000</v>
      </c>
      <c r="G260" s="4">
        <v>0</v>
      </c>
      <c r="H260" s="4">
        <v>3000</v>
      </c>
      <c r="I260" s="5">
        <f>+VLOOKUP($C260,Hoja2!$A$2:$B$7,2,0)</f>
        <v>221.59520000000001</v>
      </c>
      <c r="J260" s="4">
        <v>6</v>
      </c>
      <c r="K260" s="2">
        <f t="shared" si="8"/>
        <v>215.59520000000001</v>
      </c>
      <c r="L260" s="2">
        <f t="shared" si="9"/>
        <v>2919.1590080000001</v>
      </c>
    </row>
    <row r="261" spans="1:12" hidden="1" x14ac:dyDescent="0.3">
      <c r="A261" s="11" t="s">
        <v>134</v>
      </c>
      <c r="B261" s="1" t="s">
        <v>90</v>
      </c>
      <c r="C261" s="1" t="s">
        <v>9</v>
      </c>
      <c r="D261" s="3" t="s">
        <v>91</v>
      </c>
      <c r="E261" s="1">
        <v>5.42</v>
      </c>
      <c r="F261" s="4">
        <v>1200</v>
      </c>
      <c r="G261" s="4">
        <v>0</v>
      </c>
      <c r="H261" s="4">
        <v>1200</v>
      </c>
      <c r="I261" s="5">
        <f>+VLOOKUP($C261,Hoja2!$A$2:$B$7,2,0)</f>
        <v>221.59520000000001</v>
      </c>
      <c r="J261" s="4">
        <v>6</v>
      </c>
      <c r="K261" s="2">
        <f t="shared" si="8"/>
        <v>215.59520000000001</v>
      </c>
      <c r="L261" s="2">
        <f t="shared" si="9"/>
        <v>1168.5259840000001</v>
      </c>
    </row>
    <row r="262" spans="1:12" hidden="1" x14ac:dyDescent="0.3">
      <c r="A262" s="11" t="s">
        <v>140</v>
      </c>
      <c r="B262" s="1" t="s">
        <v>90</v>
      </c>
      <c r="C262" s="1" t="s">
        <v>9</v>
      </c>
      <c r="D262" s="3" t="s">
        <v>91</v>
      </c>
      <c r="E262" s="1">
        <v>2.71</v>
      </c>
      <c r="F262" s="4">
        <v>600</v>
      </c>
      <c r="G262" s="4">
        <v>0</v>
      </c>
      <c r="H262" s="4">
        <v>600</v>
      </c>
      <c r="I262" s="5">
        <f>+VLOOKUP($C262,Hoja2!$A$2:$B$7,2,0)</f>
        <v>221.59520000000001</v>
      </c>
      <c r="J262" s="4">
        <v>6</v>
      </c>
      <c r="K262" s="2">
        <f t="shared" si="8"/>
        <v>215.59520000000001</v>
      </c>
      <c r="L262" s="2">
        <f t="shared" si="9"/>
        <v>584.26299200000005</v>
      </c>
    </row>
    <row r="263" spans="1:12" hidden="1" x14ac:dyDescent="0.3">
      <c r="A263" s="11" t="s">
        <v>140</v>
      </c>
      <c r="B263" s="1" t="s">
        <v>90</v>
      </c>
      <c r="C263" s="1" t="s">
        <v>9</v>
      </c>
      <c r="D263" s="3" t="s">
        <v>91</v>
      </c>
      <c r="E263" s="1">
        <v>1.81</v>
      </c>
      <c r="F263" s="4">
        <v>400</v>
      </c>
      <c r="G263" s="4">
        <v>0</v>
      </c>
      <c r="H263" s="4">
        <v>400</v>
      </c>
      <c r="I263" s="5">
        <f>+VLOOKUP($C263,Hoja2!$A$2:$B$7,2,0)</f>
        <v>221.59520000000001</v>
      </c>
      <c r="J263" s="4">
        <v>6</v>
      </c>
      <c r="K263" s="2">
        <f t="shared" si="8"/>
        <v>215.59520000000001</v>
      </c>
      <c r="L263" s="2">
        <f t="shared" si="9"/>
        <v>390.22731200000004</v>
      </c>
    </row>
    <row r="264" spans="1:12" hidden="1" x14ac:dyDescent="0.3">
      <c r="A264" s="11" t="s">
        <v>135</v>
      </c>
      <c r="B264" s="1" t="s">
        <v>90</v>
      </c>
      <c r="C264" s="1" t="s">
        <v>9</v>
      </c>
      <c r="D264" s="3" t="s">
        <v>91</v>
      </c>
      <c r="E264" s="1">
        <v>13.54</v>
      </c>
      <c r="F264" s="4">
        <v>3000</v>
      </c>
      <c r="G264" s="4">
        <v>0</v>
      </c>
      <c r="H264" s="4">
        <v>3000</v>
      </c>
      <c r="I264" s="5">
        <f>+VLOOKUP($C264,Hoja2!$A$2:$B$7,2,0)</f>
        <v>221.59520000000001</v>
      </c>
      <c r="J264" s="4">
        <v>6</v>
      </c>
      <c r="K264" s="2">
        <f t="shared" si="8"/>
        <v>215.59520000000001</v>
      </c>
      <c r="L264" s="2">
        <f t="shared" si="9"/>
        <v>2919.1590080000001</v>
      </c>
    </row>
    <row r="265" spans="1:12" hidden="1" x14ac:dyDescent="0.3">
      <c r="A265" s="11" t="s">
        <v>136</v>
      </c>
      <c r="B265" s="1" t="s">
        <v>90</v>
      </c>
      <c r="C265" s="1" t="s">
        <v>9</v>
      </c>
      <c r="D265" s="3" t="s">
        <v>91</v>
      </c>
      <c r="E265" s="1">
        <v>3.61</v>
      </c>
      <c r="F265" s="4">
        <v>800</v>
      </c>
      <c r="G265" s="4">
        <v>0</v>
      </c>
      <c r="H265" s="4">
        <v>800</v>
      </c>
      <c r="I265" s="5">
        <f>+VLOOKUP($C265,Hoja2!$A$2:$B$7,2,0)</f>
        <v>221.59520000000001</v>
      </c>
      <c r="J265" s="4">
        <v>6</v>
      </c>
      <c r="K265" s="2">
        <f t="shared" si="8"/>
        <v>215.59520000000001</v>
      </c>
      <c r="L265" s="2">
        <f t="shared" si="9"/>
        <v>778.29867200000001</v>
      </c>
    </row>
    <row r="266" spans="1:12" hidden="1" x14ac:dyDescent="0.3">
      <c r="A266" s="11" t="s">
        <v>129</v>
      </c>
      <c r="B266" s="1" t="s">
        <v>90</v>
      </c>
      <c r="C266" s="1" t="s">
        <v>9</v>
      </c>
      <c r="D266" s="3" t="s">
        <v>91</v>
      </c>
      <c r="E266" s="1">
        <v>4.51</v>
      </c>
      <c r="F266" s="4">
        <v>1000</v>
      </c>
      <c r="G266" s="4">
        <v>0</v>
      </c>
      <c r="H266" s="4">
        <v>1000</v>
      </c>
      <c r="I266" s="5">
        <f>+VLOOKUP($C266,Hoja2!$A$2:$B$7,2,0)</f>
        <v>221.59520000000001</v>
      </c>
      <c r="J266" s="4">
        <v>6</v>
      </c>
      <c r="K266" s="2">
        <f t="shared" si="8"/>
        <v>215.59520000000001</v>
      </c>
      <c r="L266" s="2">
        <f t="shared" si="9"/>
        <v>972.33435199999997</v>
      </c>
    </row>
    <row r="267" spans="1:12" hidden="1" x14ac:dyDescent="0.3">
      <c r="A267" s="11">
        <v>45455</v>
      </c>
      <c r="B267" s="1" t="s">
        <v>90</v>
      </c>
      <c r="C267" s="1" t="s">
        <v>9</v>
      </c>
      <c r="D267" s="3" t="s">
        <v>91</v>
      </c>
      <c r="E267" s="1">
        <v>6.77</v>
      </c>
      <c r="F267" s="4">
        <v>1500</v>
      </c>
      <c r="G267" s="4">
        <v>0</v>
      </c>
      <c r="H267" s="4">
        <v>1500</v>
      </c>
      <c r="I267" s="5">
        <f>+VLOOKUP($C267,Hoja2!$A$2:$B$7,2,0)</f>
        <v>221.59520000000001</v>
      </c>
      <c r="J267" s="4">
        <v>6</v>
      </c>
      <c r="K267" s="2">
        <f t="shared" si="8"/>
        <v>215.59520000000001</v>
      </c>
      <c r="L267" s="2">
        <f t="shared" si="9"/>
        <v>1459.579504</v>
      </c>
    </row>
    <row r="268" spans="1:12" ht="28.8" hidden="1" x14ac:dyDescent="0.3">
      <c r="A268" s="11" t="s">
        <v>129</v>
      </c>
      <c r="B268" s="1" t="s">
        <v>52</v>
      </c>
      <c r="C268" s="1" t="s">
        <v>11</v>
      </c>
      <c r="D268" s="3" t="s">
        <v>53</v>
      </c>
      <c r="E268" s="1">
        <v>11.91</v>
      </c>
      <c r="F268" s="4">
        <v>2847</v>
      </c>
      <c r="G268" s="4">
        <v>0</v>
      </c>
      <c r="H268" s="4">
        <v>2847</v>
      </c>
      <c r="I268" s="5">
        <f>+VLOOKUP($C268,Hoja2!$A$2:$B$7,2,0)</f>
        <v>239.10159999999999</v>
      </c>
      <c r="J268" s="4">
        <v>6</v>
      </c>
      <c r="K268" s="2">
        <f t="shared" si="8"/>
        <v>233.10159999999999</v>
      </c>
      <c r="L268" s="2">
        <f t="shared" si="9"/>
        <v>2776.2400560000001</v>
      </c>
    </row>
    <row r="269" spans="1:12" ht="28.8" hidden="1" x14ac:dyDescent="0.3">
      <c r="A269" s="11" t="s">
        <v>137</v>
      </c>
      <c r="B269" s="1" t="s">
        <v>92</v>
      </c>
      <c r="C269" s="1" t="s">
        <v>13</v>
      </c>
      <c r="D269" s="3" t="s">
        <v>93</v>
      </c>
      <c r="E269" s="1">
        <v>9.69</v>
      </c>
      <c r="F269" s="4">
        <v>2811</v>
      </c>
      <c r="G269" s="4">
        <v>0</v>
      </c>
      <c r="H269" s="4">
        <v>2811</v>
      </c>
      <c r="I269" s="5">
        <f>+VLOOKUP($C269,Hoja2!$A$2:$B$7,2,0)</f>
        <v>290.10039999999998</v>
      </c>
      <c r="J269" s="4">
        <v>6</v>
      </c>
      <c r="K269" s="2">
        <f t="shared" si="8"/>
        <v>284.10039999999998</v>
      </c>
      <c r="L269" s="2">
        <f t="shared" si="9"/>
        <v>2752.9328759999999</v>
      </c>
    </row>
    <row r="270" spans="1:12" hidden="1" x14ac:dyDescent="0.3">
      <c r="A270" s="11" t="s">
        <v>132</v>
      </c>
      <c r="B270" s="1" t="s">
        <v>58</v>
      </c>
      <c r="C270" s="1" t="s">
        <v>9</v>
      </c>
      <c r="D270" s="3" t="s">
        <v>59</v>
      </c>
      <c r="E270" s="1">
        <v>44.68</v>
      </c>
      <c r="F270" s="4">
        <v>9900</v>
      </c>
      <c r="G270" s="4">
        <v>0</v>
      </c>
      <c r="H270" s="4">
        <v>9900</v>
      </c>
      <c r="I270" s="5">
        <f>+VLOOKUP($C270,Hoja2!$A$2:$B$7,2,0)</f>
        <v>221.59520000000001</v>
      </c>
      <c r="J270" s="4">
        <v>6</v>
      </c>
      <c r="K270" s="2">
        <f t="shared" si="8"/>
        <v>215.59520000000001</v>
      </c>
      <c r="L270" s="2">
        <f t="shared" si="9"/>
        <v>9632.793536000001</v>
      </c>
    </row>
    <row r="271" spans="1:12" hidden="1" x14ac:dyDescent="0.3">
      <c r="A271" s="11" t="s">
        <v>132</v>
      </c>
      <c r="B271" s="1" t="s">
        <v>58</v>
      </c>
      <c r="C271" s="1" t="s">
        <v>9</v>
      </c>
      <c r="D271" s="3" t="s">
        <v>59</v>
      </c>
      <c r="E271" s="1">
        <v>41.93</v>
      </c>
      <c r="F271" s="4">
        <v>9292</v>
      </c>
      <c r="G271" s="4">
        <v>0</v>
      </c>
      <c r="H271" s="4">
        <v>9292</v>
      </c>
      <c r="I271" s="5">
        <f>+VLOOKUP($C271,Hoja2!$A$2:$B$7,2,0)</f>
        <v>221.59520000000001</v>
      </c>
      <c r="J271" s="4">
        <v>6</v>
      </c>
      <c r="K271" s="2">
        <f t="shared" si="8"/>
        <v>215.59520000000001</v>
      </c>
      <c r="L271" s="2">
        <f t="shared" si="9"/>
        <v>9039.9067360000008</v>
      </c>
    </row>
    <row r="272" spans="1:12" ht="28.8" hidden="1" x14ac:dyDescent="0.3">
      <c r="A272" s="11">
        <v>45485</v>
      </c>
      <c r="B272" s="1" t="s">
        <v>94</v>
      </c>
      <c r="C272" s="1" t="s">
        <v>13</v>
      </c>
      <c r="D272" s="3" t="s">
        <v>95</v>
      </c>
      <c r="E272" s="1">
        <v>25.85</v>
      </c>
      <c r="F272" s="4">
        <v>7500</v>
      </c>
      <c r="G272" s="4">
        <v>0</v>
      </c>
      <c r="H272" s="4">
        <v>7500</v>
      </c>
      <c r="I272" s="5">
        <f>+VLOOKUP($C272,Hoja2!$A$2:$B$7,2,0)</f>
        <v>290.10039999999998</v>
      </c>
      <c r="J272" s="4">
        <v>6</v>
      </c>
      <c r="K272" s="2">
        <f t="shared" si="8"/>
        <v>284.10039999999998</v>
      </c>
      <c r="L272" s="2">
        <f t="shared" si="9"/>
        <v>7343.9953399999995</v>
      </c>
    </row>
    <row r="273" spans="1:12" ht="28.8" hidden="1" x14ac:dyDescent="0.3">
      <c r="A273" s="11">
        <v>45638</v>
      </c>
      <c r="B273" s="1" t="s">
        <v>94</v>
      </c>
      <c r="C273" s="1" t="s">
        <v>13</v>
      </c>
      <c r="D273" s="3" t="s">
        <v>95</v>
      </c>
      <c r="E273" s="1">
        <v>6.2</v>
      </c>
      <c r="F273" s="4">
        <v>1800</v>
      </c>
      <c r="G273" s="4">
        <v>0</v>
      </c>
      <c r="H273" s="4">
        <v>1800</v>
      </c>
      <c r="I273" s="5">
        <f>+VLOOKUP($C273,Hoja2!$A$2:$B$7,2,0)</f>
        <v>290.10039999999998</v>
      </c>
      <c r="J273" s="4">
        <v>6</v>
      </c>
      <c r="K273" s="2">
        <f t="shared" si="8"/>
        <v>284.10039999999998</v>
      </c>
      <c r="L273" s="2">
        <f t="shared" si="9"/>
        <v>1761.42248</v>
      </c>
    </row>
    <row r="274" spans="1:12" ht="28.8" hidden="1" x14ac:dyDescent="0.3">
      <c r="A274" s="11">
        <v>45455</v>
      </c>
      <c r="B274" s="1" t="s">
        <v>94</v>
      </c>
      <c r="C274" s="1" t="s">
        <v>13</v>
      </c>
      <c r="D274" s="3" t="s">
        <v>95</v>
      </c>
      <c r="E274" s="1">
        <v>19.649999999999999</v>
      </c>
      <c r="F274" s="4">
        <v>5700</v>
      </c>
      <c r="G274" s="4">
        <v>0</v>
      </c>
      <c r="H274" s="4">
        <v>5700</v>
      </c>
      <c r="I274" s="5">
        <f>+VLOOKUP($C274,Hoja2!$A$2:$B$7,2,0)</f>
        <v>290.10039999999998</v>
      </c>
      <c r="J274" s="4">
        <v>6</v>
      </c>
      <c r="K274" s="2">
        <f t="shared" si="8"/>
        <v>284.10039999999998</v>
      </c>
      <c r="L274" s="2">
        <f t="shared" si="9"/>
        <v>5582.5728599999993</v>
      </c>
    </row>
    <row r="275" spans="1:12" ht="43.2" hidden="1" x14ac:dyDescent="0.3">
      <c r="A275" s="11">
        <v>45516</v>
      </c>
      <c r="B275" s="1" t="s">
        <v>64</v>
      </c>
      <c r="C275" s="1" t="s">
        <v>96</v>
      </c>
      <c r="D275" s="3" t="s">
        <v>65</v>
      </c>
      <c r="E275" s="1">
        <v>23.91</v>
      </c>
      <c r="F275" s="4">
        <v>5717</v>
      </c>
      <c r="G275" s="4">
        <v>0</v>
      </c>
      <c r="H275" s="4">
        <v>5717</v>
      </c>
      <c r="I275" s="5">
        <f>+VLOOKUP($C275,Hoja2!$A$2:$B$7,2,0)</f>
        <v>0</v>
      </c>
      <c r="J275" s="4">
        <v>6</v>
      </c>
      <c r="K275" s="2">
        <f t="shared" si="8"/>
        <v>-6</v>
      </c>
      <c r="L275" s="2">
        <f t="shared" si="9"/>
        <v>-143.46</v>
      </c>
    </row>
    <row r="276" spans="1:12" hidden="1" x14ac:dyDescent="0.3">
      <c r="A276" s="11" t="s">
        <v>141</v>
      </c>
      <c r="B276" s="1" t="s">
        <v>66</v>
      </c>
      <c r="C276" s="1" t="s">
        <v>9</v>
      </c>
      <c r="D276" s="3" t="s">
        <v>67</v>
      </c>
      <c r="E276" s="1">
        <v>18.95</v>
      </c>
      <c r="F276" s="4">
        <v>4200</v>
      </c>
      <c r="G276" s="4">
        <v>0</v>
      </c>
      <c r="H276" s="4">
        <v>4200</v>
      </c>
      <c r="I276" s="5">
        <f>+VLOOKUP($C276,Hoja2!$A$2:$B$7,2,0)</f>
        <v>221.59520000000001</v>
      </c>
      <c r="J276" s="4">
        <v>6</v>
      </c>
      <c r="K276" s="2">
        <f t="shared" si="8"/>
        <v>215.59520000000001</v>
      </c>
      <c r="L276" s="2">
        <f t="shared" si="9"/>
        <v>4085.5290399999999</v>
      </c>
    </row>
    <row r="277" spans="1:12" ht="28.8" hidden="1" x14ac:dyDescent="0.3">
      <c r="A277" s="11" t="s">
        <v>135</v>
      </c>
      <c r="B277" s="1" t="s">
        <v>68</v>
      </c>
      <c r="C277" s="1" t="s">
        <v>9</v>
      </c>
      <c r="D277" s="3" t="s">
        <v>69</v>
      </c>
      <c r="E277" s="1">
        <v>18.05</v>
      </c>
      <c r="F277" s="4">
        <v>4000</v>
      </c>
      <c r="G277" s="4">
        <v>0</v>
      </c>
      <c r="H277" s="4">
        <v>4000</v>
      </c>
      <c r="I277" s="5">
        <f>+VLOOKUP($C277,Hoja2!$A$2:$B$7,2,0)</f>
        <v>221.59520000000001</v>
      </c>
      <c r="J277" s="4">
        <v>6</v>
      </c>
      <c r="K277" s="2">
        <f t="shared" si="8"/>
        <v>215.59520000000001</v>
      </c>
      <c r="L277" s="2">
        <f t="shared" si="9"/>
        <v>3891.4933600000004</v>
      </c>
    </row>
    <row r="278" spans="1:12" ht="28.8" hidden="1" x14ac:dyDescent="0.3">
      <c r="A278" s="11" t="s">
        <v>128</v>
      </c>
      <c r="B278" s="1" t="s">
        <v>68</v>
      </c>
      <c r="C278" s="1" t="s">
        <v>9</v>
      </c>
      <c r="D278" s="3" t="s">
        <v>69</v>
      </c>
      <c r="E278" s="1">
        <v>18.05</v>
      </c>
      <c r="F278" s="4">
        <v>4000</v>
      </c>
      <c r="G278" s="4">
        <v>0</v>
      </c>
      <c r="H278" s="4">
        <v>4000</v>
      </c>
      <c r="I278" s="5">
        <f>+VLOOKUP($C278,Hoja2!$A$2:$B$7,2,0)</f>
        <v>221.59520000000001</v>
      </c>
      <c r="J278" s="4">
        <v>6</v>
      </c>
      <c r="K278" s="2">
        <f t="shared" si="8"/>
        <v>215.59520000000001</v>
      </c>
      <c r="L278" s="2">
        <f t="shared" si="9"/>
        <v>3891.4933600000004</v>
      </c>
    </row>
    <row r="279" spans="1:12" ht="28.8" hidden="1" x14ac:dyDescent="0.3">
      <c r="A279" s="11" t="s">
        <v>138</v>
      </c>
      <c r="B279" s="1" t="s">
        <v>68</v>
      </c>
      <c r="C279" s="1" t="s">
        <v>9</v>
      </c>
      <c r="D279" s="3" t="s">
        <v>69</v>
      </c>
      <c r="E279" s="1">
        <v>9.0299999999999994</v>
      </c>
      <c r="F279" s="4">
        <v>2000</v>
      </c>
      <c r="G279" s="4">
        <v>0</v>
      </c>
      <c r="H279" s="4">
        <v>2000</v>
      </c>
      <c r="I279" s="5">
        <f>+VLOOKUP($C279,Hoja2!$A$2:$B$7,2,0)</f>
        <v>221.59520000000001</v>
      </c>
      <c r="J279" s="4">
        <v>6</v>
      </c>
      <c r="K279" s="2">
        <f t="shared" si="8"/>
        <v>215.59520000000001</v>
      </c>
      <c r="L279" s="2">
        <f t="shared" si="9"/>
        <v>1946.824656</v>
      </c>
    </row>
    <row r="280" spans="1:12" ht="28.8" hidden="1" x14ac:dyDescent="0.3">
      <c r="A280" s="11" t="s">
        <v>126</v>
      </c>
      <c r="B280" s="1" t="s">
        <v>97</v>
      </c>
      <c r="C280" s="1" t="s">
        <v>9</v>
      </c>
      <c r="D280" s="3" t="s">
        <v>98</v>
      </c>
      <c r="E280" s="1">
        <v>30</v>
      </c>
      <c r="F280" s="4">
        <v>6648</v>
      </c>
      <c r="G280" s="4">
        <v>0</v>
      </c>
      <c r="H280" s="4">
        <v>6648</v>
      </c>
      <c r="I280" s="5">
        <f>+VLOOKUP($C280,Hoja2!$A$2:$B$7,2,0)</f>
        <v>221.59520000000001</v>
      </c>
      <c r="J280" s="4">
        <v>6</v>
      </c>
      <c r="K280" s="2">
        <f t="shared" si="8"/>
        <v>215.59520000000001</v>
      </c>
      <c r="L280" s="2">
        <f t="shared" si="9"/>
        <v>6467.8559999999998</v>
      </c>
    </row>
    <row r="281" spans="1:12" ht="28.8" hidden="1" x14ac:dyDescent="0.3">
      <c r="A281" s="11">
        <v>45455</v>
      </c>
      <c r="B281" s="1" t="s">
        <v>97</v>
      </c>
      <c r="C281" s="1" t="s">
        <v>13</v>
      </c>
      <c r="D281" s="3" t="s">
        <v>98</v>
      </c>
      <c r="E281" s="1">
        <v>12.93</v>
      </c>
      <c r="F281" s="4">
        <v>3750</v>
      </c>
      <c r="G281" s="4">
        <v>0</v>
      </c>
      <c r="H281" s="4">
        <v>3750</v>
      </c>
      <c r="I281" s="5">
        <f>+VLOOKUP($C281,Hoja2!$A$2:$B$7,2,0)</f>
        <v>290.10039999999998</v>
      </c>
      <c r="J281" s="4">
        <v>6</v>
      </c>
      <c r="K281" s="2">
        <f t="shared" si="8"/>
        <v>284.10039999999998</v>
      </c>
      <c r="L281" s="2">
        <f t="shared" si="9"/>
        <v>3673.4181719999997</v>
      </c>
    </row>
    <row r="282" spans="1:12" ht="28.8" hidden="1" x14ac:dyDescent="0.3">
      <c r="A282" s="11">
        <v>45638</v>
      </c>
      <c r="B282" s="1" t="s">
        <v>97</v>
      </c>
      <c r="C282" s="1" t="s">
        <v>21</v>
      </c>
      <c r="D282" s="3" t="s">
        <v>98</v>
      </c>
      <c r="E282" s="1">
        <v>3.67</v>
      </c>
      <c r="F282" s="4">
        <v>1000</v>
      </c>
      <c r="G282" s="4">
        <v>0</v>
      </c>
      <c r="H282" s="4">
        <v>1000</v>
      </c>
      <c r="I282" s="5">
        <f>+VLOOKUP($C282,Hoja2!$A$2:$B$7,2,0)</f>
        <v>272.50659999999999</v>
      </c>
      <c r="J282" s="4">
        <v>6</v>
      </c>
      <c r="K282" s="2">
        <f t="shared" si="8"/>
        <v>266.50659999999999</v>
      </c>
      <c r="L282" s="2">
        <f t="shared" si="9"/>
        <v>978.07922199999996</v>
      </c>
    </row>
    <row r="283" spans="1:12" ht="28.8" hidden="1" x14ac:dyDescent="0.3">
      <c r="A283" s="11">
        <v>45577</v>
      </c>
      <c r="B283" s="1" t="s">
        <v>97</v>
      </c>
      <c r="C283" s="1" t="s">
        <v>9</v>
      </c>
      <c r="D283" s="3" t="s">
        <v>98</v>
      </c>
      <c r="E283" s="1">
        <v>32.64</v>
      </c>
      <c r="F283" s="4">
        <v>7232</v>
      </c>
      <c r="G283" s="4">
        <v>0</v>
      </c>
      <c r="H283" s="4">
        <v>7232</v>
      </c>
      <c r="I283" s="5">
        <f>+VLOOKUP($C283,Hoja2!$A$2:$B$7,2,0)</f>
        <v>221.59520000000001</v>
      </c>
      <c r="J283" s="4">
        <v>6</v>
      </c>
      <c r="K283" s="2">
        <f t="shared" si="8"/>
        <v>215.59520000000001</v>
      </c>
      <c r="L283" s="2">
        <f t="shared" si="9"/>
        <v>7037.0273280000001</v>
      </c>
    </row>
    <row r="284" spans="1:12" ht="28.8" hidden="1" x14ac:dyDescent="0.3">
      <c r="A284" s="11" t="s">
        <v>138</v>
      </c>
      <c r="B284" s="1" t="s">
        <v>97</v>
      </c>
      <c r="C284" s="1" t="s">
        <v>9</v>
      </c>
      <c r="D284" s="3" t="s">
        <v>98</v>
      </c>
      <c r="E284" s="1">
        <v>5.42</v>
      </c>
      <c r="F284" s="4">
        <v>1200</v>
      </c>
      <c r="G284" s="4">
        <v>0</v>
      </c>
      <c r="H284" s="4">
        <v>1200</v>
      </c>
      <c r="I284" s="5">
        <f>+VLOOKUP($C284,Hoja2!$A$2:$B$7,2,0)</f>
        <v>221.59520000000001</v>
      </c>
      <c r="J284" s="4">
        <v>6</v>
      </c>
      <c r="K284" s="2">
        <f t="shared" si="8"/>
        <v>215.59520000000001</v>
      </c>
      <c r="L284" s="2">
        <f t="shared" si="9"/>
        <v>1168.5259840000001</v>
      </c>
    </row>
    <row r="285" spans="1:12" ht="28.8" hidden="1" x14ac:dyDescent="0.3">
      <c r="A285" s="11">
        <v>45485</v>
      </c>
      <c r="B285" s="1" t="s">
        <v>97</v>
      </c>
      <c r="C285" s="1" t="s">
        <v>11</v>
      </c>
      <c r="D285" s="3" t="s">
        <v>98</v>
      </c>
      <c r="E285" s="1">
        <v>20.91</v>
      </c>
      <c r="F285" s="4">
        <v>5000</v>
      </c>
      <c r="G285" s="4">
        <v>0</v>
      </c>
      <c r="H285" s="4">
        <v>5000</v>
      </c>
      <c r="I285" s="5">
        <f>+VLOOKUP($C285,Hoja2!$A$2:$B$7,2,0)</f>
        <v>239.10159999999999</v>
      </c>
      <c r="J285" s="4">
        <v>6</v>
      </c>
      <c r="K285" s="2">
        <f t="shared" si="8"/>
        <v>233.10159999999999</v>
      </c>
      <c r="L285" s="2">
        <f t="shared" si="9"/>
        <v>4874.1544560000002</v>
      </c>
    </row>
    <row r="286" spans="1:12" ht="28.8" hidden="1" x14ac:dyDescent="0.3">
      <c r="A286" s="11">
        <v>45334</v>
      </c>
      <c r="B286" s="1" t="s">
        <v>97</v>
      </c>
      <c r="C286" s="1" t="s">
        <v>13</v>
      </c>
      <c r="D286" s="3" t="s">
        <v>98</v>
      </c>
      <c r="E286" s="1">
        <v>6.89</v>
      </c>
      <c r="F286" s="4">
        <v>2000</v>
      </c>
      <c r="G286" s="4">
        <v>0</v>
      </c>
      <c r="H286" s="4">
        <v>2000</v>
      </c>
      <c r="I286" s="5">
        <f>+VLOOKUP($C286,Hoja2!$A$2:$B$7,2,0)</f>
        <v>290.10039999999998</v>
      </c>
      <c r="J286" s="4">
        <v>6</v>
      </c>
      <c r="K286" s="2">
        <f t="shared" si="8"/>
        <v>284.10039999999998</v>
      </c>
      <c r="L286" s="2">
        <f t="shared" si="9"/>
        <v>1957.4517559999997</v>
      </c>
    </row>
    <row r="287" spans="1:12" ht="28.8" hidden="1" x14ac:dyDescent="0.3">
      <c r="A287" s="11">
        <v>45363</v>
      </c>
      <c r="B287" s="1" t="s">
        <v>97</v>
      </c>
      <c r="C287" s="1" t="s">
        <v>9</v>
      </c>
      <c r="D287" s="3" t="s">
        <v>98</v>
      </c>
      <c r="E287" s="1">
        <v>30</v>
      </c>
      <c r="F287" s="4">
        <v>6648</v>
      </c>
      <c r="G287" s="4">
        <v>0</v>
      </c>
      <c r="H287" s="4">
        <v>6648</v>
      </c>
      <c r="I287" s="5">
        <f>+VLOOKUP($C287,Hoja2!$A$2:$B$7,2,0)</f>
        <v>221.59520000000001</v>
      </c>
      <c r="J287" s="4">
        <v>6</v>
      </c>
      <c r="K287" s="2">
        <f t="shared" si="8"/>
        <v>215.59520000000001</v>
      </c>
      <c r="L287" s="2">
        <f t="shared" si="9"/>
        <v>6467.8559999999998</v>
      </c>
    </row>
    <row r="288" spans="1:12" ht="28.8" hidden="1" x14ac:dyDescent="0.3">
      <c r="A288" s="11">
        <v>45394</v>
      </c>
      <c r="B288" s="1" t="s">
        <v>97</v>
      </c>
      <c r="C288" s="1" t="s">
        <v>9</v>
      </c>
      <c r="D288" s="3" t="s">
        <v>98</v>
      </c>
      <c r="E288" s="1">
        <v>30</v>
      </c>
      <c r="F288" s="4">
        <v>6648</v>
      </c>
      <c r="G288" s="4">
        <v>0</v>
      </c>
      <c r="H288" s="4">
        <v>6648</v>
      </c>
      <c r="I288" s="5">
        <f>+VLOOKUP($C288,Hoja2!$A$2:$B$7,2,0)</f>
        <v>221.59520000000001</v>
      </c>
      <c r="J288" s="4">
        <v>6</v>
      </c>
      <c r="K288" s="2">
        <f t="shared" si="8"/>
        <v>215.59520000000001</v>
      </c>
      <c r="L288" s="2">
        <f t="shared" si="9"/>
        <v>6467.8559999999998</v>
      </c>
    </row>
    <row r="289" spans="1:12" ht="28.8" hidden="1" x14ac:dyDescent="0.3">
      <c r="A289" s="11">
        <v>45577</v>
      </c>
      <c r="B289" s="1" t="s">
        <v>97</v>
      </c>
      <c r="C289" s="1" t="s">
        <v>11</v>
      </c>
      <c r="D289" s="3" t="s">
        <v>98</v>
      </c>
      <c r="E289" s="1">
        <v>37.07</v>
      </c>
      <c r="F289" s="4">
        <v>8864</v>
      </c>
      <c r="G289" s="4">
        <v>0</v>
      </c>
      <c r="H289" s="4">
        <v>8864</v>
      </c>
      <c r="I289" s="5">
        <f>+VLOOKUP($C289,Hoja2!$A$2:$B$7,2,0)</f>
        <v>239.10159999999999</v>
      </c>
      <c r="J289" s="4">
        <v>6</v>
      </c>
      <c r="K289" s="2">
        <f t="shared" si="8"/>
        <v>233.10159999999999</v>
      </c>
      <c r="L289" s="2">
        <f t="shared" si="9"/>
        <v>8641.0763119999992</v>
      </c>
    </row>
    <row r="290" spans="1:12" ht="28.8" hidden="1" x14ac:dyDescent="0.3">
      <c r="A290" s="11">
        <v>45577</v>
      </c>
      <c r="B290" s="1" t="s">
        <v>97</v>
      </c>
      <c r="C290" s="1" t="s">
        <v>11</v>
      </c>
      <c r="D290" s="3" t="s">
        <v>98</v>
      </c>
      <c r="E290" s="1">
        <v>10.46</v>
      </c>
      <c r="F290" s="4">
        <v>2500</v>
      </c>
      <c r="G290" s="4">
        <v>0</v>
      </c>
      <c r="H290" s="4">
        <v>2500</v>
      </c>
      <c r="I290" s="5">
        <f>+VLOOKUP($C290,Hoja2!$A$2:$B$7,2,0)</f>
        <v>239.10159999999999</v>
      </c>
      <c r="J290" s="4">
        <v>6</v>
      </c>
      <c r="K290" s="2">
        <f t="shared" si="8"/>
        <v>233.10159999999999</v>
      </c>
      <c r="L290" s="2">
        <f t="shared" si="9"/>
        <v>2438.2427360000001</v>
      </c>
    </row>
    <row r="291" spans="1:12" ht="28.8" hidden="1" x14ac:dyDescent="0.3">
      <c r="A291" s="11" t="s">
        <v>142</v>
      </c>
      <c r="B291" s="1" t="s">
        <v>97</v>
      </c>
      <c r="C291" s="1" t="s">
        <v>9</v>
      </c>
      <c r="D291" s="3" t="s">
        <v>98</v>
      </c>
      <c r="E291" s="1">
        <v>12.64</v>
      </c>
      <c r="F291" s="4">
        <v>2800</v>
      </c>
      <c r="G291" s="4">
        <v>0</v>
      </c>
      <c r="H291" s="4">
        <v>2800</v>
      </c>
      <c r="I291" s="5">
        <f>+VLOOKUP($C291,Hoja2!$A$2:$B$7,2,0)</f>
        <v>221.59520000000001</v>
      </c>
      <c r="J291" s="4">
        <v>6</v>
      </c>
      <c r="K291" s="2">
        <f t="shared" si="8"/>
        <v>215.59520000000001</v>
      </c>
      <c r="L291" s="2">
        <f t="shared" si="9"/>
        <v>2725.1233280000001</v>
      </c>
    </row>
    <row r="292" spans="1:12" ht="28.8" hidden="1" x14ac:dyDescent="0.3">
      <c r="A292" s="11">
        <v>45485</v>
      </c>
      <c r="B292" s="1" t="s">
        <v>99</v>
      </c>
      <c r="C292" s="1" t="s">
        <v>9</v>
      </c>
      <c r="D292" s="3" t="s">
        <v>100</v>
      </c>
      <c r="E292" s="1">
        <v>6.32</v>
      </c>
      <c r="F292" s="4">
        <v>1400</v>
      </c>
      <c r="G292" s="4">
        <v>0</v>
      </c>
      <c r="H292" s="4">
        <v>1400</v>
      </c>
      <c r="I292" s="5">
        <f>+VLOOKUP($C292,Hoja2!$A$2:$B$7,2,0)</f>
        <v>221.59520000000001</v>
      </c>
      <c r="J292" s="4">
        <v>6</v>
      </c>
      <c r="K292" s="2">
        <f t="shared" si="8"/>
        <v>215.59520000000001</v>
      </c>
      <c r="L292" s="2">
        <f t="shared" si="9"/>
        <v>1362.5616640000001</v>
      </c>
    </row>
    <row r="293" spans="1:12" ht="28.8" hidden="1" x14ac:dyDescent="0.3">
      <c r="A293" s="11" t="s">
        <v>134</v>
      </c>
      <c r="B293" s="1" t="s">
        <v>99</v>
      </c>
      <c r="C293" s="1" t="s">
        <v>9</v>
      </c>
      <c r="D293" s="3" t="s">
        <v>100</v>
      </c>
      <c r="E293" s="1">
        <v>6.32</v>
      </c>
      <c r="F293" s="4">
        <v>1400</v>
      </c>
      <c r="G293" s="4">
        <v>0</v>
      </c>
      <c r="H293" s="4">
        <v>1400</v>
      </c>
      <c r="I293" s="5">
        <f>+VLOOKUP($C293,Hoja2!$A$2:$B$7,2,0)</f>
        <v>221.59520000000001</v>
      </c>
      <c r="J293" s="4">
        <v>6</v>
      </c>
      <c r="K293" s="2">
        <f t="shared" si="8"/>
        <v>215.59520000000001</v>
      </c>
      <c r="L293" s="2">
        <f t="shared" si="9"/>
        <v>1362.5616640000001</v>
      </c>
    </row>
    <row r="294" spans="1:12" ht="28.8" hidden="1" x14ac:dyDescent="0.3">
      <c r="A294" s="11" t="s">
        <v>134</v>
      </c>
      <c r="B294" s="1" t="s">
        <v>99</v>
      </c>
      <c r="C294" s="1" t="s">
        <v>9</v>
      </c>
      <c r="D294" s="3" t="s">
        <v>100</v>
      </c>
      <c r="E294" s="1">
        <v>104.59</v>
      </c>
      <c r="F294" s="4">
        <v>23178</v>
      </c>
      <c r="G294" s="4">
        <v>0</v>
      </c>
      <c r="H294" s="4">
        <v>23178</v>
      </c>
      <c r="I294" s="5">
        <f>+VLOOKUP($C294,Hoja2!$A$2:$B$7,2,0)</f>
        <v>221.59520000000001</v>
      </c>
      <c r="J294" s="4">
        <v>6</v>
      </c>
      <c r="K294" s="2">
        <f t="shared" si="8"/>
        <v>215.59520000000001</v>
      </c>
      <c r="L294" s="2">
        <f t="shared" si="9"/>
        <v>22549.101968000003</v>
      </c>
    </row>
    <row r="295" spans="1:12" ht="28.8" hidden="1" x14ac:dyDescent="0.3">
      <c r="A295" s="11">
        <v>45363</v>
      </c>
      <c r="B295" s="1" t="s">
        <v>99</v>
      </c>
      <c r="C295" s="1" t="s">
        <v>9</v>
      </c>
      <c r="D295" s="3" t="s">
        <v>100</v>
      </c>
      <c r="E295" s="1">
        <v>90.25</v>
      </c>
      <c r="F295" s="4">
        <v>20000</v>
      </c>
      <c r="G295" s="4">
        <v>0</v>
      </c>
      <c r="H295" s="4">
        <v>20000</v>
      </c>
      <c r="I295" s="5">
        <f>+VLOOKUP($C295,Hoja2!$A$2:$B$7,2,0)</f>
        <v>221.59520000000001</v>
      </c>
      <c r="J295" s="4">
        <v>6</v>
      </c>
      <c r="K295" s="2">
        <f t="shared" si="8"/>
        <v>215.59520000000001</v>
      </c>
      <c r="L295" s="2">
        <f t="shared" si="9"/>
        <v>19457.466800000002</v>
      </c>
    </row>
    <row r="296" spans="1:12" ht="28.8" hidden="1" x14ac:dyDescent="0.3">
      <c r="A296" s="11" t="s">
        <v>133</v>
      </c>
      <c r="B296" s="1" t="s">
        <v>99</v>
      </c>
      <c r="C296" s="1" t="s">
        <v>9</v>
      </c>
      <c r="D296" s="3" t="s">
        <v>100</v>
      </c>
      <c r="E296" s="1">
        <v>6.32</v>
      </c>
      <c r="F296" s="4">
        <v>1400</v>
      </c>
      <c r="G296" s="4">
        <v>0</v>
      </c>
      <c r="H296" s="4">
        <v>1400</v>
      </c>
      <c r="I296" s="5">
        <f>+VLOOKUP($C296,Hoja2!$A$2:$B$7,2,0)</f>
        <v>221.59520000000001</v>
      </c>
      <c r="J296" s="4">
        <v>6</v>
      </c>
      <c r="K296" s="2">
        <f t="shared" si="8"/>
        <v>215.59520000000001</v>
      </c>
      <c r="L296" s="2">
        <f t="shared" si="9"/>
        <v>1362.5616640000001</v>
      </c>
    </row>
    <row r="297" spans="1:12" ht="28.8" hidden="1" x14ac:dyDescent="0.3">
      <c r="A297" s="11" t="s">
        <v>133</v>
      </c>
      <c r="B297" s="1" t="s">
        <v>99</v>
      </c>
      <c r="C297" s="1" t="s">
        <v>9</v>
      </c>
      <c r="D297" s="3" t="s">
        <v>100</v>
      </c>
      <c r="E297" s="1">
        <v>16.25</v>
      </c>
      <c r="F297" s="4">
        <v>3600</v>
      </c>
      <c r="G297" s="4">
        <v>0</v>
      </c>
      <c r="H297" s="4">
        <v>3600</v>
      </c>
      <c r="I297" s="5">
        <f>+VLOOKUP($C297,Hoja2!$A$2:$B$7,2,0)</f>
        <v>221.59520000000001</v>
      </c>
      <c r="J297" s="4">
        <v>6</v>
      </c>
      <c r="K297" s="2">
        <f t="shared" si="8"/>
        <v>215.59520000000001</v>
      </c>
      <c r="L297" s="2">
        <f t="shared" si="9"/>
        <v>3503.422</v>
      </c>
    </row>
    <row r="298" spans="1:12" ht="28.8" hidden="1" x14ac:dyDescent="0.3">
      <c r="A298" s="11">
        <v>45455</v>
      </c>
      <c r="B298" s="1" t="s">
        <v>99</v>
      </c>
      <c r="C298" s="1" t="s">
        <v>9</v>
      </c>
      <c r="D298" s="3" t="s">
        <v>100</v>
      </c>
      <c r="E298" s="1">
        <v>61.37</v>
      </c>
      <c r="F298" s="4">
        <v>13600</v>
      </c>
      <c r="G298" s="4">
        <v>0</v>
      </c>
      <c r="H298" s="4">
        <v>13600</v>
      </c>
      <c r="I298" s="5">
        <f>+VLOOKUP($C298,Hoja2!$A$2:$B$7,2,0)</f>
        <v>221.59520000000001</v>
      </c>
      <c r="J298" s="4">
        <v>6</v>
      </c>
      <c r="K298" s="2">
        <f t="shared" si="8"/>
        <v>215.59520000000001</v>
      </c>
      <c r="L298" s="2">
        <f t="shared" si="9"/>
        <v>13231.077423999999</v>
      </c>
    </row>
    <row r="299" spans="1:12" ht="28.8" hidden="1" x14ac:dyDescent="0.3">
      <c r="A299" s="11" t="s">
        <v>142</v>
      </c>
      <c r="B299" s="1" t="s">
        <v>74</v>
      </c>
      <c r="C299" s="1" t="s">
        <v>13</v>
      </c>
      <c r="D299" s="3" t="s">
        <v>75</v>
      </c>
      <c r="E299" s="1">
        <v>4.46</v>
      </c>
      <c r="F299" s="4">
        <v>1294</v>
      </c>
      <c r="G299" s="4">
        <v>0</v>
      </c>
      <c r="H299" s="4">
        <v>1294</v>
      </c>
      <c r="I299" s="5">
        <f>+VLOOKUP($C299,Hoja2!$A$2:$B$7,2,0)</f>
        <v>290.10039999999998</v>
      </c>
      <c r="J299" s="4">
        <v>6</v>
      </c>
      <c r="K299" s="2">
        <f t="shared" si="8"/>
        <v>284.10039999999998</v>
      </c>
      <c r="L299" s="2">
        <f t="shared" si="9"/>
        <v>1267.0877839999998</v>
      </c>
    </row>
    <row r="300" spans="1:12" hidden="1" x14ac:dyDescent="0.3">
      <c r="A300" s="11" t="s">
        <v>143</v>
      </c>
      <c r="B300" s="1" t="s">
        <v>101</v>
      </c>
      <c r="C300" s="1" t="s">
        <v>11</v>
      </c>
      <c r="D300" s="3" t="s">
        <v>102</v>
      </c>
      <c r="E300" s="1">
        <v>12.55</v>
      </c>
      <c r="F300" s="4">
        <v>3000</v>
      </c>
      <c r="G300" s="4">
        <v>0</v>
      </c>
      <c r="H300" s="4">
        <v>3000</v>
      </c>
      <c r="I300" s="5">
        <f>+VLOOKUP($C300,Hoja2!$A$2:$B$7,2,0)</f>
        <v>239.10159999999999</v>
      </c>
      <c r="J300" s="4">
        <v>6</v>
      </c>
      <c r="K300" s="2">
        <f t="shared" si="8"/>
        <v>233.10159999999999</v>
      </c>
      <c r="L300" s="2">
        <f t="shared" si="9"/>
        <v>2925.42508</v>
      </c>
    </row>
    <row r="301" spans="1:12" hidden="1" x14ac:dyDescent="0.3">
      <c r="A301" s="11" t="s">
        <v>131</v>
      </c>
      <c r="B301" s="1" t="s">
        <v>101</v>
      </c>
      <c r="C301" s="1" t="s">
        <v>11</v>
      </c>
      <c r="D301" s="3" t="s">
        <v>102</v>
      </c>
      <c r="E301" s="1">
        <v>4.18</v>
      </c>
      <c r="F301" s="4">
        <v>1000</v>
      </c>
      <c r="G301" s="4">
        <v>0</v>
      </c>
      <c r="H301" s="4">
        <v>1000</v>
      </c>
      <c r="I301" s="5">
        <f>+VLOOKUP($C301,Hoja2!$A$2:$B$7,2,0)</f>
        <v>239.10159999999999</v>
      </c>
      <c r="J301" s="4">
        <v>6</v>
      </c>
      <c r="K301" s="2">
        <f t="shared" si="8"/>
        <v>233.10159999999999</v>
      </c>
      <c r="L301" s="2">
        <f t="shared" si="9"/>
        <v>974.36468799999989</v>
      </c>
    </row>
    <row r="302" spans="1:12" hidden="1" x14ac:dyDescent="0.3">
      <c r="A302" s="11" t="s">
        <v>126</v>
      </c>
      <c r="B302" s="1" t="s">
        <v>101</v>
      </c>
      <c r="C302" s="1" t="s">
        <v>9</v>
      </c>
      <c r="D302" s="3" t="s">
        <v>102</v>
      </c>
      <c r="E302" s="1">
        <v>18.05</v>
      </c>
      <c r="F302" s="4">
        <v>4000</v>
      </c>
      <c r="G302" s="4">
        <v>0</v>
      </c>
      <c r="H302" s="4">
        <v>4000</v>
      </c>
      <c r="I302" s="5">
        <f>+VLOOKUP($C302,Hoja2!$A$2:$B$7,2,0)</f>
        <v>221.59520000000001</v>
      </c>
      <c r="J302" s="4">
        <v>6</v>
      </c>
      <c r="K302" s="2">
        <f t="shared" si="8"/>
        <v>215.59520000000001</v>
      </c>
      <c r="L302" s="2">
        <f t="shared" si="9"/>
        <v>3891.4933600000004</v>
      </c>
    </row>
    <row r="303" spans="1:12" hidden="1" x14ac:dyDescent="0.3">
      <c r="A303" s="11" t="s">
        <v>127</v>
      </c>
      <c r="B303" s="1" t="s">
        <v>101</v>
      </c>
      <c r="C303" s="1" t="s">
        <v>9</v>
      </c>
      <c r="D303" s="3" t="s">
        <v>102</v>
      </c>
      <c r="E303" s="1">
        <v>9.0299999999999994</v>
      </c>
      <c r="F303" s="4">
        <v>2000</v>
      </c>
      <c r="G303" s="4">
        <v>0</v>
      </c>
      <c r="H303" s="4">
        <v>2000</v>
      </c>
      <c r="I303" s="5">
        <f>+VLOOKUP($C303,Hoja2!$A$2:$B$7,2,0)</f>
        <v>221.59520000000001</v>
      </c>
      <c r="J303" s="4">
        <v>6</v>
      </c>
      <c r="K303" s="2">
        <f t="shared" si="8"/>
        <v>215.59520000000001</v>
      </c>
      <c r="L303" s="2">
        <f t="shared" si="9"/>
        <v>1946.824656</v>
      </c>
    </row>
    <row r="304" spans="1:12" hidden="1" x14ac:dyDescent="0.3">
      <c r="A304" s="11" t="s">
        <v>142</v>
      </c>
      <c r="B304" s="1" t="s">
        <v>101</v>
      </c>
      <c r="C304" s="1" t="s">
        <v>11</v>
      </c>
      <c r="D304" s="3" t="s">
        <v>102</v>
      </c>
      <c r="E304" s="1">
        <v>4.18</v>
      </c>
      <c r="F304" s="4">
        <v>1000</v>
      </c>
      <c r="G304" s="4">
        <v>0</v>
      </c>
      <c r="H304" s="4">
        <v>1000</v>
      </c>
      <c r="I304" s="5">
        <f>+VLOOKUP($C304,Hoja2!$A$2:$B$7,2,0)</f>
        <v>239.10159999999999</v>
      </c>
      <c r="J304" s="4">
        <v>6</v>
      </c>
      <c r="K304" s="2">
        <f t="shared" si="8"/>
        <v>233.10159999999999</v>
      </c>
      <c r="L304" s="2">
        <f t="shared" si="9"/>
        <v>974.36468799999989</v>
      </c>
    </row>
    <row r="305" spans="1:12" hidden="1" x14ac:dyDescent="0.3">
      <c r="A305" s="11" t="s">
        <v>128</v>
      </c>
      <c r="B305" s="1" t="s">
        <v>101</v>
      </c>
      <c r="C305" s="1" t="s">
        <v>9</v>
      </c>
      <c r="D305" s="3" t="s">
        <v>102</v>
      </c>
      <c r="E305" s="1">
        <v>9.0299999999999994</v>
      </c>
      <c r="F305" s="4">
        <v>2000</v>
      </c>
      <c r="G305" s="4">
        <v>0</v>
      </c>
      <c r="H305" s="4">
        <v>2000</v>
      </c>
      <c r="I305" s="5">
        <f>+VLOOKUP($C305,Hoja2!$A$2:$B$7,2,0)</f>
        <v>221.59520000000001</v>
      </c>
      <c r="J305" s="4">
        <v>6</v>
      </c>
      <c r="K305" s="2">
        <f t="shared" si="8"/>
        <v>215.59520000000001</v>
      </c>
      <c r="L305" s="2">
        <f t="shared" si="9"/>
        <v>1946.824656</v>
      </c>
    </row>
    <row r="306" spans="1:12" hidden="1" x14ac:dyDescent="0.3">
      <c r="A306" s="11" t="s">
        <v>135</v>
      </c>
      <c r="B306" s="1" t="s">
        <v>101</v>
      </c>
      <c r="C306" s="1" t="s">
        <v>11</v>
      </c>
      <c r="D306" s="3" t="s">
        <v>102</v>
      </c>
      <c r="E306" s="1">
        <v>12.55</v>
      </c>
      <c r="F306" s="4">
        <v>3000</v>
      </c>
      <c r="G306" s="4">
        <v>0</v>
      </c>
      <c r="H306" s="4">
        <v>3000</v>
      </c>
      <c r="I306" s="5">
        <f>+VLOOKUP($C306,Hoja2!$A$2:$B$7,2,0)</f>
        <v>239.10159999999999</v>
      </c>
      <c r="J306" s="4">
        <v>6</v>
      </c>
      <c r="K306" s="2">
        <f t="shared" si="8"/>
        <v>233.10159999999999</v>
      </c>
      <c r="L306" s="2">
        <f t="shared" si="9"/>
        <v>2925.42508</v>
      </c>
    </row>
    <row r="307" spans="1:12" hidden="1" x14ac:dyDescent="0.3">
      <c r="A307" s="11" t="s">
        <v>132</v>
      </c>
      <c r="B307" s="1" t="s">
        <v>101</v>
      </c>
      <c r="C307" s="1" t="s">
        <v>11</v>
      </c>
      <c r="D307" s="3" t="s">
        <v>102</v>
      </c>
      <c r="E307" s="1">
        <v>12.55</v>
      </c>
      <c r="F307" s="4">
        <v>3000</v>
      </c>
      <c r="G307" s="4">
        <v>0</v>
      </c>
      <c r="H307" s="4">
        <v>3000</v>
      </c>
      <c r="I307" s="5">
        <f>+VLOOKUP($C307,Hoja2!$A$2:$B$7,2,0)</f>
        <v>239.10159999999999</v>
      </c>
      <c r="J307" s="4">
        <v>6</v>
      </c>
      <c r="K307" s="2">
        <f t="shared" si="8"/>
        <v>233.10159999999999</v>
      </c>
      <c r="L307" s="2">
        <f t="shared" si="9"/>
        <v>2925.42508</v>
      </c>
    </row>
    <row r="308" spans="1:12" hidden="1" x14ac:dyDescent="0.3">
      <c r="A308" s="11" t="s">
        <v>139</v>
      </c>
      <c r="B308" s="1" t="s">
        <v>101</v>
      </c>
      <c r="C308" s="1" t="s">
        <v>11</v>
      </c>
      <c r="D308" s="3" t="s">
        <v>102</v>
      </c>
      <c r="E308" s="1">
        <v>2.09</v>
      </c>
      <c r="F308" s="4">
        <v>500</v>
      </c>
      <c r="G308" s="4">
        <v>0</v>
      </c>
      <c r="H308" s="4">
        <v>500</v>
      </c>
      <c r="I308" s="5">
        <f>+VLOOKUP($C308,Hoja2!$A$2:$B$7,2,0)</f>
        <v>239.10159999999999</v>
      </c>
      <c r="J308" s="4">
        <v>6</v>
      </c>
      <c r="K308" s="2">
        <f t="shared" si="8"/>
        <v>233.10159999999999</v>
      </c>
      <c r="L308" s="2">
        <f t="shared" si="9"/>
        <v>487.18234399999994</v>
      </c>
    </row>
    <row r="309" spans="1:12" ht="28.8" hidden="1" x14ac:dyDescent="0.3">
      <c r="A309" s="11" t="s">
        <v>132</v>
      </c>
      <c r="B309" s="1" t="s">
        <v>103</v>
      </c>
      <c r="C309" s="1" t="s">
        <v>104</v>
      </c>
      <c r="D309" s="3" t="s">
        <v>105</v>
      </c>
      <c r="E309" s="1">
        <v>20.68</v>
      </c>
      <c r="F309" s="4">
        <v>6000</v>
      </c>
      <c r="G309" s="4">
        <v>0</v>
      </c>
      <c r="H309" s="4">
        <v>6000</v>
      </c>
      <c r="I309" s="5">
        <f>+VLOOKUP($C309,Hoja2!$A$2:$B$7,2,0)</f>
        <v>0</v>
      </c>
      <c r="J309" s="4">
        <v>6</v>
      </c>
      <c r="K309" s="2">
        <f t="shared" si="8"/>
        <v>-6</v>
      </c>
      <c r="L309" s="2">
        <f t="shared" si="9"/>
        <v>-124.08</v>
      </c>
    </row>
    <row r="310" spans="1:12" ht="28.8" hidden="1" x14ac:dyDescent="0.3">
      <c r="A310" s="11">
        <v>45303</v>
      </c>
      <c r="B310" s="1" t="s">
        <v>103</v>
      </c>
      <c r="C310" s="1" t="s">
        <v>13</v>
      </c>
      <c r="D310" s="3" t="s">
        <v>105</v>
      </c>
      <c r="E310" s="1">
        <v>21.37</v>
      </c>
      <c r="F310" s="4">
        <v>6200</v>
      </c>
      <c r="G310" s="4">
        <v>0</v>
      </c>
      <c r="H310" s="4">
        <v>6200</v>
      </c>
      <c r="I310" s="5">
        <f>+VLOOKUP($C310,Hoja2!$A$2:$B$7,2,0)</f>
        <v>290.10039999999998</v>
      </c>
      <c r="J310" s="4">
        <v>6</v>
      </c>
      <c r="K310" s="2">
        <f t="shared" si="8"/>
        <v>284.10039999999998</v>
      </c>
      <c r="L310" s="2">
        <f t="shared" si="9"/>
        <v>6071.2255479999994</v>
      </c>
    </row>
    <row r="311" spans="1:12" ht="28.8" hidden="1" x14ac:dyDescent="0.3">
      <c r="A311" s="11">
        <v>45394</v>
      </c>
      <c r="B311" s="1" t="s">
        <v>103</v>
      </c>
      <c r="C311" s="1" t="s">
        <v>13</v>
      </c>
      <c r="D311" s="3" t="s">
        <v>105</v>
      </c>
      <c r="E311" s="1">
        <v>13.1</v>
      </c>
      <c r="F311" s="4">
        <v>3800</v>
      </c>
      <c r="G311" s="4">
        <v>0</v>
      </c>
      <c r="H311" s="4">
        <v>3800</v>
      </c>
      <c r="I311" s="5">
        <f>+VLOOKUP($C311,Hoja2!$A$2:$B$7,2,0)</f>
        <v>290.10039999999998</v>
      </c>
      <c r="J311" s="4">
        <v>6</v>
      </c>
      <c r="K311" s="2">
        <f t="shared" si="8"/>
        <v>284.10039999999998</v>
      </c>
      <c r="L311" s="2">
        <f t="shared" si="9"/>
        <v>3721.7152399999995</v>
      </c>
    </row>
    <row r="312" spans="1:12" ht="28.8" hidden="1" x14ac:dyDescent="0.3">
      <c r="A312" s="11" t="s">
        <v>144</v>
      </c>
      <c r="B312" s="1" t="s">
        <v>103</v>
      </c>
      <c r="C312" s="1" t="s">
        <v>21</v>
      </c>
      <c r="D312" s="3" t="s">
        <v>105</v>
      </c>
      <c r="E312" s="1">
        <v>13.31</v>
      </c>
      <c r="F312" s="4">
        <v>3626</v>
      </c>
      <c r="G312" s="4">
        <v>0</v>
      </c>
      <c r="H312" s="4">
        <v>3626</v>
      </c>
      <c r="I312" s="5">
        <f>+VLOOKUP($C312,Hoja2!$A$2:$B$7,2,0)</f>
        <v>272.50659999999999</v>
      </c>
      <c r="J312" s="4">
        <v>6</v>
      </c>
      <c r="K312" s="2">
        <f t="shared" si="8"/>
        <v>266.50659999999999</v>
      </c>
      <c r="L312" s="2">
        <f t="shared" si="9"/>
        <v>3547.2028460000001</v>
      </c>
    </row>
    <row r="313" spans="1:12" ht="28.8" hidden="1" x14ac:dyDescent="0.3">
      <c r="A313" s="11" t="s">
        <v>130</v>
      </c>
      <c r="B313" s="1" t="s">
        <v>103</v>
      </c>
      <c r="C313" s="1" t="s">
        <v>13</v>
      </c>
      <c r="D313" s="3" t="s">
        <v>105</v>
      </c>
      <c r="E313" s="1">
        <v>13.79</v>
      </c>
      <c r="F313" s="4">
        <v>4000</v>
      </c>
      <c r="G313" s="4">
        <v>0</v>
      </c>
      <c r="H313" s="4">
        <v>4000</v>
      </c>
      <c r="I313" s="5">
        <f>+VLOOKUP($C313,Hoja2!$A$2:$B$7,2,0)</f>
        <v>290.10039999999998</v>
      </c>
      <c r="J313" s="4">
        <v>6</v>
      </c>
      <c r="K313" s="2">
        <f t="shared" si="8"/>
        <v>284.10039999999998</v>
      </c>
      <c r="L313" s="2">
        <f t="shared" si="9"/>
        <v>3917.7445159999993</v>
      </c>
    </row>
    <row r="314" spans="1:12" ht="28.8" hidden="1" x14ac:dyDescent="0.3">
      <c r="A314" s="11">
        <v>45638</v>
      </c>
      <c r="B314" s="1" t="s">
        <v>103</v>
      </c>
      <c r="C314" s="1" t="s">
        <v>21</v>
      </c>
      <c r="D314" s="3" t="s">
        <v>105</v>
      </c>
      <c r="E314" s="1">
        <v>17.89</v>
      </c>
      <c r="F314" s="4">
        <v>4874</v>
      </c>
      <c r="G314" s="4">
        <v>0</v>
      </c>
      <c r="H314" s="4">
        <v>4874</v>
      </c>
      <c r="I314" s="5">
        <f>+VLOOKUP($C314,Hoja2!$A$2:$B$7,2,0)</f>
        <v>272.50659999999999</v>
      </c>
      <c r="J314" s="4">
        <v>6</v>
      </c>
      <c r="K314" s="2">
        <f t="shared" si="8"/>
        <v>266.50659999999999</v>
      </c>
      <c r="L314" s="2">
        <f t="shared" si="9"/>
        <v>4767.8030740000004</v>
      </c>
    </row>
    <row r="315" spans="1:12" ht="28.8" hidden="1" x14ac:dyDescent="0.3">
      <c r="A315" s="11" t="s">
        <v>134</v>
      </c>
      <c r="B315" s="1" t="s">
        <v>103</v>
      </c>
      <c r="C315" s="1" t="s">
        <v>21</v>
      </c>
      <c r="D315" s="3" t="s">
        <v>105</v>
      </c>
      <c r="E315" s="1">
        <v>5.5</v>
      </c>
      <c r="F315" s="4">
        <v>1500</v>
      </c>
      <c r="G315" s="4">
        <v>0</v>
      </c>
      <c r="H315" s="4">
        <v>1500</v>
      </c>
      <c r="I315" s="5">
        <f>+VLOOKUP($C315,Hoja2!$A$2:$B$7,2,0)</f>
        <v>272.50659999999999</v>
      </c>
      <c r="J315" s="4">
        <v>6</v>
      </c>
      <c r="K315" s="2">
        <f t="shared" si="8"/>
        <v>266.50659999999999</v>
      </c>
      <c r="L315" s="2">
        <f t="shared" si="9"/>
        <v>1465.7863</v>
      </c>
    </row>
    <row r="316" spans="1:12" hidden="1" x14ac:dyDescent="0.3">
      <c r="A316" s="11" t="s">
        <v>140</v>
      </c>
      <c r="B316" s="1" t="s">
        <v>106</v>
      </c>
      <c r="C316" s="1" t="s">
        <v>9</v>
      </c>
      <c r="D316" s="3" t="s">
        <v>107</v>
      </c>
      <c r="E316" s="1">
        <v>6.77</v>
      </c>
      <c r="F316" s="4">
        <v>1500</v>
      </c>
      <c r="G316" s="4">
        <v>0</v>
      </c>
      <c r="H316" s="4">
        <v>1500</v>
      </c>
      <c r="I316" s="5">
        <f>+VLOOKUP($C316,Hoja2!$A$2:$B$7,2,0)</f>
        <v>221.59520000000001</v>
      </c>
      <c r="J316" s="4">
        <v>6</v>
      </c>
      <c r="K316" s="2">
        <f t="shared" si="8"/>
        <v>215.59520000000001</v>
      </c>
      <c r="L316" s="2">
        <f t="shared" si="9"/>
        <v>1459.579504</v>
      </c>
    </row>
    <row r="317" spans="1:12" hidden="1" x14ac:dyDescent="0.3">
      <c r="A317" s="11" t="s">
        <v>138</v>
      </c>
      <c r="B317" s="1" t="s">
        <v>106</v>
      </c>
      <c r="C317" s="1" t="s">
        <v>9</v>
      </c>
      <c r="D317" s="3" t="s">
        <v>107</v>
      </c>
      <c r="E317" s="1">
        <v>18.05</v>
      </c>
      <c r="F317" s="4">
        <v>4000</v>
      </c>
      <c r="G317" s="4">
        <v>0</v>
      </c>
      <c r="H317" s="4">
        <v>4000</v>
      </c>
      <c r="I317" s="5">
        <f>+VLOOKUP($C317,Hoja2!$A$2:$B$7,2,0)</f>
        <v>221.59520000000001</v>
      </c>
      <c r="J317" s="4">
        <v>6</v>
      </c>
      <c r="K317" s="2">
        <f t="shared" si="8"/>
        <v>215.59520000000001</v>
      </c>
      <c r="L317" s="2">
        <f t="shared" si="9"/>
        <v>3891.4933600000004</v>
      </c>
    </row>
    <row r="318" spans="1:12" hidden="1" x14ac:dyDescent="0.3">
      <c r="A318" s="11" t="s">
        <v>136</v>
      </c>
      <c r="B318" s="1" t="s">
        <v>106</v>
      </c>
      <c r="C318" s="1" t="s">
        <v>9</v>
      </c>
      <c r="D318" s="3" t="s">
        <v>107</v>
      </c>
      <c r="E318" s="1">
        <v>4.51</v>
      </c>
      <c r="F318" s="4">
        <v>1000</v>
      </c>
      <c r="G318" s="4">
        <v>0</v>
      </c>
      <c r="H318" s="4">
        <v>1000</v>
      </c>
      <c r="I318" s="5">
        <f>+VLOOKUP($C318,Hoja2!$A$2:$B$7,2,0)</f>
        <v>221.59520000000001</v>
      </c>
      <c r="J318" s="4">
        <v>6</v>
      </c>
      <c r="K318" s="2">
        <f t="shared" si="8"/>
        <v>215.59520000000001</v>
      </c>
      <c r="L318" s="2">
        <f t="shared" si="9"/>
        <v>972.33435199999997</v>
      </c>
    </row>
    <row r="319" spans="1:12" hidden="1" x14ac:dyDescent="0.3">
      <c r="A319" s="11" t="s">
        <v>132</v>
      </c>
      <c r="B319" s="1" t="s">
        <v>106</v>
      </c>
      <c r="C319" s="1" t="s">
        <v>9</v>
      </c>
      <c r="D319" s="3" t="s">
        <v>107</v>
      </c>
      <c r="E319" s="1">
        <v>9.0299999999999994</v>
      </c>
      <c r="F319" s="4">
        <v>2000</v>
      </c>
      <c r="G319" s="4">
        <v>0</v>
      </c>
      <c r="H319" s="4">
        <v>2000</v>
      </c>
      <c r="I319" s="5">
        <f>+VLOOKUP($C319,Hoja2!$A$2:$B$7,2,0)</f>
        <v>221.59520000000001</v>
      </c>
      <c r="J319" s="4">
        <v>6</v>
      </c>
      <c r="K319" s="2">
        <f t="shared" si="8"/>
        <v>215.59520000000001</v>
      </c>
      <c r="L319" s="2">
        <f t="shared" si="9"/>
        <v>1946.824656</v>
      </c>
    </row>
    <row r="320" spans="1:12" hidden="1" x14ac:dyDescent="0.3">
      <c r="A320" s="11" t="s">
        <v>133</v>
      </c>
      <c r="B320" s="1" t="s">
        <v>106</v>
      </c>
      <c r="C320" s="1" t="s">
        <v>9</v>
      </c>
      <c r="D320" s="3" t="s">
        <v>107</v>
      </c>
      <c r="E320" s="1">
        <v>9.0299999999999994</v>
      </c>
      <c r="F320" s="4">
        <v>2000</v>
      </c>
      <c r="G320" s="4">
        <v>0</v>
      </c>
      <c r="H320" s="4">
        <v>2000</v>
      </c>
      <c r="I320" s="5">
        <f>+VLOOKUP($C320,Hoja2!$A$2:$B$7,2,0)</f>
        <v>221.59520000000001</v>
      </c>
      <c r="J320" s="4">
        <v>6</v>
      </c>
      <c r="K320" s="2">
        <f t="shared" si="8"/>
        <v>215.59520000000001</v>
      </c>
      <c r="L320" s="2">
        <f t="shared" si="9"/>
        <v>1946.824656</v>
      </c>
    </row>
    <row r="321" spans="1:15" hidden="1" x14ac:dyDescent="0.3">
      <c r="A321" s="11" t="s">
        <v>135</v>
      </c>
      <c r="B321" s="1" t="s">
        <v>106</v>
      </c>
      <c r="C321" s="1" t="s">
        <v>11</v>
      </c>
      <c r="D321" s="3" t="s">
        <v>107</v>
      </c>
      <c r="E321" s="1">
        <v>8.36</v>
      </c>
      <c r="F321" s="4">
        <v>2000</v>
      </c>
      <c r="G321" s="4">
        <v>0</v>
      </c>
      <c r="H321" s="4">
        <v>2000</v>
      </c>
      <c r="I321" s="5">
        <f>+VLOOKUP($C321,Hoja2!$A$2:$B$7,2,0)</f>
        <v>239.10159999999999</v>
      </c>
      <c r="J321" s="4">
        <v>6</v>
      </c>
      <c r="K321" s="2">
        <f t="shared" si="8"/>
        <v>233.10159999999999</v>
      </c>
      <c r="L321" s="2">
        <f t="shared" si="9"/>
        <v>1948.7293759999998</v>
      </c>
    </row>
    <row r="322" spans="1:15" hidden="1" x14ac:dyDescent="0.3">
      <c r="A322" s="11" t="s">
        <v>134</v>
      </c>
      <c r="B322" s="1" t="s">
        <v>106</v>
      </c>
      <c r="C322" s="1" t="s">
        <v>11</v>
      </c>
      <c r="D322" s="3" t="s">
        <v>107</v>
      </c>
      <c r="E322" s="1">
        <v>8.36</v>
      </c>
      <c r="F322" s="4">
        <v>2000</v>
      </c>
      <c r="G322" s="4">
        <v>0</v>
      </c>
      <c r="H322" s="4">
        <v>2000</v>
      </c>
      <c r="I322" s="5">
        <f>+VLOOKUP($C322,Hoja2!$A$2:$B$7,2,0)</f>
        <v>239.10159999999999</v>
      </c>
      <c r="J322" s="4">
        <v>6</v>
      </c>
      <c r="K322" s="2">
        <f t="shared" si="8"/>
        <v>233.10159999999999</v>
      </c>
      <c r="L322" s="2">
        <f t="shared" si="9"/>
        <v>1948.7293759999998</v>
      </c>
    </row>
    <row r="323" spans="1:15" ht="28.8" hidden="1" x14ac:dyDescent="0.3">
      <c r="A323" s="11">
        <v>45485</v>
      </c>
      <c r="B323" s="1" t="s">
        <v>108</v>
      </c>
      <c r="C323" s="1" t="s">
        <v>9</v>
      </c>
      <c r="D323" s="3" t="s">
        <v>109</v>
      </c>
      <c r="E323" s="1">
        <v>22.56</v>
      </c>
      <c r="F323" s="4">
        <v>5000</v>
      </c>
      <c r="G323" s="4">
        <v>0</v>
      </c>
      <c r="H323" s="4">
        <v>5000</v>
      </c>
      <c r="I323" s="5">
        <f>+VLOOKUP($C323,Hoja2!$A$2:$B$7,2,0)</f>
        <v>221.59520000000001</v>
      </c>
      <c r="J323" s="4">
        <v>6</v>
      </c>
      <c r="K323" s="2">
        <f t="shared" ref="K323:K346" si="10">+I323-J323</f>
        <v>215.59520000000001</v>
      </c>
      <c r="L323" s="2">
        <f t="shared" ref="L323:L346" si="11">+K323*E323</f>
        <v>4863.8277120000002</v>
      </c>
    </row>
    <row r="324" spans="1:15" ht="28.8" hidden="1" x14ac:dyDescent="0.3">
      <c r="A324" s="11" t="s">
        <v>131</v>
      </c>
      <c r="B324" s="1" t="s">
        <v>108</v>
      </c>
      <c r="C324" s="1" t="s">
        <v>9</v>
      </c>
      <c r="D324" s="3" t="s">
        <v>109</v>
      </c>
      <c r="E324" s="1">
        <v>40.61</v>
      </c>
      <c r="F324" s="4">
        <v>9000</v>
      </c>
      <c r="G324" s="4">
        <v>0</v>
      </c>
      <c r="H324" s="4">
        <v>9000</v>
      </c>
      <c r="I324" s="5">
        <f>+VLOOKUP($C324,Hoja2!$A$2:$B$7,2,0)</f>
        <v>221.59520000000001</v>
      </c>
      <c r="J324" s="4">
        <v>6</v>
      </c>
      <c r="K324" s="2">
        <f t="shared" si="10"/>
        <v>215.59520000000001</v>
      </c>
      <c r="L324" s="2">
        <f t="shared" si="11"/>
        <v>8755.3210720000006</v>
      </c>
    </row>
    <row r="325" spans="1:15" ht="28.8" hidden="1" x14ac:dyDescent="0.3">
      <c r="A325" s="11" t="s">
        <v>131</v>
      </c>
      <c r="B325" s="1" t="s">
        <v>108</v>
      </c>
      <c r="C325" s="1" t="s">
        <v>9</v>
      </c>
      <c r="D325" s="3" t="s">
        <v>109</v>
      </c>
      <c r="E325" s="1">
        <v>13.54</v>
      </c>
      <c r="F325" s="4">
        <v>3000</v>
      </c>
      <c r="G325" s="4">
        <v>0</v>
      </c>
      <c r="H325" s="4">
        <v>3000</v>
      </c>
      <c r="I325" s="5">
        <f>+VLOOKUP($C325,Hoja2!$A$2:$B$7,2,0)</f>
        <v>221.59520000000001</v>
      </c>
      <c r="J325" s="4">
        <v>6</v>
      </c>
      <c r="K325" s="2">
        <f t="shared" si="10"/>
        <v>215.59520000000001</v>
      </c>
      <c r="L325" s="2">
        <f t="shared" si="11"/>
        <v>2919.1590080000001</v>
      </c>
    </row>
    <row r="326" spans="1:15" ht="28.8" hidden="1" x14ac:dyDescent="0.3">
      <c r="A326" s="11" t="s">
        <v>133</v>
      </c>
      <c r="B326" s="1" t="s">
        <v>108</v>
      </c>
      <c r="C326" s="1" t="s">
        <v>9</v>
      </c>
      <c r="D326" s="3" t="s">
        <v>109</v>
      </c>
      <c r="E326" s="1">
        <v>13.54</v>
      </c>
      <c r="F326" s="4">
        <v>3000</v>
      </c>
      <c r="G326" s="4">
        <v>0</v>
      </c>
      <c r="H326" s="4">
        <v>3000</v>
      </c>
      <c r="I326" s="5">
        <f>+VLOOKUP($C326,Hoja2!$A$2:$B$7,2,0)</f>
        <v>221.59520000000001</v>
      </c>
      <c r="J326" s="4">
        <v>6</v>
      </c>
      <c r="K326" s="2">
        <f t="shared" si="10"/>
        <v>215.59520000000001</v>
      </c>
      <c r="L326" s="2">
        <f t="shared" si="11"/>
        <v>2919.1590080000001</v>
      </c>
    </row>
    <row r="327" spans="1:15" ht="28.8" hidden="1" x14ac:dyDescent="0.3">
      <c r="A327" s="11" t="s">
        <v>138</v>
      </c>
      <c r="B327" s="1" t="s">
        <v>108</v>
      </c>
      <c r="C327" s="1" t="s">
        <v>9</v>
      </c>
      <c r="D327" s="3" t="s">
        <v>109</v>
      </c>
      <c r="E327" s="1">
        <v>45.12</v>
      </c>
      <c r="F327" s="4">
        <v>9999</v>
      </c>
      <c r="G327" s="4">
        <v>0</v>
      </c>
      <c r="H327" s="4">
        <v>9999</v>
      </c>
      <c r="I327" s="5">
        <f>+VLOOKUP($C327,Hoja2!$A$2:$B$7,2,0)</f>
        <v>221.59520000000001</v>
      </c>
      <c r="J327" s="4">
        <v>6</v>
      </c>
      <c r="K327" s="2">
        <f t="shared" si="10"/>
        <v>215.59520000000001</v>
      </c>
      <c r="L327" s="2">
        <f t="shared" si="11"/>
        <v>9727.6554240000005</v>
      </c>
    </row>
    <row r="328" spans="1:15" ht="28.8" hidden="1" x14ac:dyDescent="0.3">
      <c r="A328" s="11" t="s">
        <v>138</v>
      </c>
      <c r="B328" s="1" t="s">
        <v>108</v>
      </c>
      <c r="C328" s="1" t="s">
        <v>9</v>
      </c>
      <c r="D328" s="3" t="s">
        <v>109</v>
      </c>
      <c r="E328" s="1">
        <v>22.56</v>
      </c>
      <c r="F328" s="4">
        <v>5000</v>
      </c>
      <c r="G328" s="4">
        <v>0</v>
      </c>
      <c r="H328" s="4">
        <v>5000</v>
      </c>
      <c r="I328" s="5">
        <f>+VLOOKUP($C328,Hoja2!$A$2:$B$7,2,0)</f>
        <v>221.59520000000001</v>
      </c>
      <c r="J328" s="4">
        <v>6</v>
      </c>
      <c r="K328" s="2">
        <f t="shared" si="10"/>
        <v>215.59520000000001</v>
      </c>
      <c r="L328" s="2">
        <f t="shared" si="11"/>
        <v>4863.8277120000002</v>
      </c>
    </row>
    <row r="329" spans="1:15" ht="28.8" hidden="1" x14ac:dyDescent="0.3">
      <c r="A329" s="11">
        <v>45363</v>
      </c>
      <c r="B329" s="1" t="s">
        <v>108</v>
      </c>
      <c r="C329" s="1" t="s">
        <v>9</v>
      </c>
      <c r="D329" s="3" t="s">
        <v>109</v>
      </c>
      <c r="E329" s="1">
        <v>45.13</v>
      </c>
      <c r="F329" s="4">
        <v>10000</v>
      </c>
      <c r="G329" s="4">
        <v>0</v>
      </c>
      <c r="H329" s="4">
        <v>10000</v>
      </c>
      <c r="I329" s="5">
        <f>+VLOOKUP($C329,Hoja2!$A$2:$B$7,2,0)</f>
        <v>221.59520000000001</v>
      </c>
      <c r="J329" s="4">
        <v>6</v>
      </c>
      <c r="K329" s="2">
        <f t="shared" si="10"/>
        <v>215.59520000000001</v>
      </c>
      <c r="L329" s="2">
        <f t="shared" si="11"/>
        <v>9729.8113760000015</v>
      </c>
    </row>
    <row r="330" spans="1:15" ht="28.8" hidden="1" x14ac:dyDescent="0.3">
      <c r="A330" s="11" t="s">
        <v>132</v>
      </c>
      <c r="B330" s="1" t="s">
        <v>38</v>
      </c>
      <c r="C330" s="1" t="s">
        <v>11</v>
      </c>
      <c r="D330" s="3" t="s">
        <v>39</v>
      </c>
      <c r="E330" s="1">
        <v>14.15</v>
      </c>
      <c r="F330" s="4">
        <v>3384</v>
      </c>
      <c r="G330" s="4">
        <v>0</v>
      </c>
      <c r="H330" s="4">
        <v>3384</v>
      </c>
      <c r="I330" s="5">
        <f>+VLOOKUP($C330,Hoja2!$A$2:$B$7,2,0)</f>
        <v>239.10159999999999</v>
      </c>
      <c r="J330" s="4">
        <v>6</v>
      </c>
      <c r="K330" s="2">
        <f t="shared" si="10"/>
        <v>233.10159999999999</v>
      </c>
      <c r="L330" s="2">
        <f t="shared" si="11"/>
        <v>3298.3876399999999</v>
      </c>
    </row>
    <row r="331" spans="1:15" ht="28.8" hidden="1" x14ac:dyDescent="0.3">
      <c r="A331" s="11">
        <v>45303</v>
      </c>
      <c r="B331" s="1" t="s">
        <v>38</v>
      </c>
      <c r="C331" s="1" t="s">
        <v>13</v>
      </c>
      <c r="D331" s="3" t="s">
        <v>39</v>
      </c>
      <c r="E331" s="1">
        <v>3.45</v>
      </c>
      <c r="F331" s="4">
        <v>1000</v>
      </c>
      <c r="G331" s="4">
        <v>0</v>
      </c>
      <c r="H331" s="4">
        <v>1000</v>
      </c>
      <c r="I331" s="5">
        <f>+VLOOKUP($C331,Hoja2!$A$2:$B$7,2,0)</f>
        <v>290.10039999999998</v>
      </c>
      <c r="J331" s="4">
        <v>6</v>
      </c>
      <c r="K331" s="2">
        <f t="shared" si="10"/>
        <v>284.10039999999998</v>
      </c>
      <c r="L331" s="2">
        <f t="shared" si="11"/>
        <v>980.14638000000002</v>
      </c>
    </row>
    <row r="332" spans="1:15" ht="28.8" hidden="1" x14ac:dyDescent="0.3">
      <c r="A332" s="11">
        <v>45334</v>
      </c>
      <c r="B332" s="1" t="s">
        <v>38</v>
      </c>
      <c r="C332" s="1" t="s">
        <v>11</v>
      </c>
      <c r="D332" s="3" t="s">
        <v>39</v>
      </c>
      <c r="E332" s="1">
        <v>13.51</v>
      </c>
      <c r="F332" s="4">
        <v>3231.4</v>
      </c>
      <c r="G332" s="4">
        <v>0</v>
      </c>
      <c r="H332" s="4">
        <v>3231.4</v>
      </c>
      <c r="I332" s="5">
        <f>+VLOOKUP($C332,Hoja2!$A$2:$B$7,2,0)</f>
        <v>239.10159999999999</v>
      </c>
      <c r="J332" s="4">
        <v>6</v>
      </c>
      <c r="K332" s="2">
        <f t="shared" si="10"/>
        <v>233.10159999999999</v>
      </c>
      <c r="L332" s="2">
        <f t="shared" si="11"/>
        <v>3149.202616</v>
      </c>
    </row>
    <row r="333" spans="1:15" ht="28.8" hidden="1" x14ac:dyDescent="0.3">
      <c r="A333" s="11">
        <v>45485</v>
      </c>
      <c r="B333" s="1" t="s">
        <v>38</v>
      </c>
      <c r="C333" s="1" t="s">
        <v>13</v>
      </c>
      <c r="D333" s="3" t="s">
        <v>39</v>
      </c>
      <c r="E333" s="1">
        <v>0.59</v>
      </c>
      <c r="F333" s="4">
        <v>172</v>
      </c>
      <c r="G333" s="4">
        <v>0</v>
      </c>
      <c r="H333" s="4">
        <v>172</v>
      </c>
      <c r="I333" s="5">
        <f>+VLOOKUP($C333,Hoja2!$A$2:$B$7,2,0)</f>
        <v>290.10039999999998</v>
      </c>
      <c r="J333" s="4">
        <v>6</v>
      </c>
      <c r="K333" s="2">
        <f t="shared" si="10"/>
        <v>284.10039999999998</v>
      </c>
      <c r="L333" s="2">
        <f t="shared" si="11"/>
        <v>167.61923599999997</v>
      </c>
    </row>
    <row r="334" spans="1:15" hidden="1" x14ac:dyDescent="0.3">
      <c r="A334" s="11">
        <v>45363</v>
      </c>
      <c r="B334" s="1" t="s">
        <v>110</v>
      </c>
      <c r="C334" s="1" t="s">
        <v>9</v>
      </c>
      <c r="D334" s="3" t="s">
        <v>111</v>
      </c>
      <c r="E334" s="1">
        <v>13.54</v>
      </c>
      <c r="F334" s="4">
        <v>3000</v>
      </c>
      <c r="G334" s="4">
        <v>0</v>
      </c>
      <c r="H334" s="4">
        <v>3000</v>
      </c>
      <c r="I334" s="5">
        <f>+VLOOKUP($C334,Hoja2!$A$2:$B$7,2,0)</f>
        <v>221.59520000000001</v>
      </c>
      <c r="J334" s="4">
        <v>6</v>
      </c>
      <c r="K334" s="2">
        <f t="shared" si="10"/>
        <v>215.59520000000001</v>
      </c>
      <c r="L334" s="2">
        <f t="shared" si="11"/>
        <v>2919.1590080000001</v>
      </c>
    </row>
    <row r="335" spans="1:15" ht="28.8" hidden="1" x14ac:dyDescent="0.3">
      <c r="A335" s="11">
        <v>45547</v>
      </c>
      <c r="B335" s="1" t="s">
        <v>112</v>
      </c>
      <c r="C335" s="1" t="s">
        <v>9</v>
      </c>
      <c r="D335" s="3" t="s">
        <v>113</v>
      </c>
      <c r="E335" s="1">
        <v>18.05</v>
      </c>
      <c r="F335" s="4">
        <v>4000</v>
      </c>
      <c r="G335" s="4">
        <v>0</v>
      </c>
      <c r="H335" s="4">
        <v>4000</v>
      </c>
      <c r="I335" s="5">
        <f>+VLOOKUP($C335,Hoja2!$A$2:$B$7,2,0)</f>
        <v>221.59520000000001</v>
      </c>
      <c r="J335" s="4">
        <v>6</v>
      </c>
      <c r="K335" s="2">
        <f t="shared" si="10"/>
        <v>215.59520000000001</v>
      </c>
      <c r="L335" s="2">
        <f t="shared" si="11"/>
        <v>3891.4933600000004</v>
      </c>
    </row>
    <row r="336" spans="1:15" ht="28.8" hidden="1" x14ac:dyDescent="0.3">
      <c r="A336" s="11" t="s">
        <v>131</v>
      </c>
      <c r="B336" s="1" t="s">
        <v>112</v>
      </c>
      <c r="C336" s="1" t="s">
        <v>9</v>
      </c>
      <c r="D336" s="3" t="s">
        <v>113</v>
      </c>
      <c r="E336" s="1">
        <v>18.05</v>
      </c>
      <c r="F336" s="4">
        <v>4000</v>
      </c>
      <c r="G336" s="4">
        <v>0</v>
      </c>
      <c r="H336" s="4">
        <v>4000</v>
      </c>
      <c r="I336" s="5">
        <f>+VLOOKUP($C336,Hoja2!$A$2:$B$7,2,0)</f>
        <v>221.59520000000001</v>
      </c>
      <c r="J336" s="4">
        <v>6</v>
      </c>
      <c r="K336" s="2">
        <f t="shared" si="10"/>
        <v>215.59520000000001</v>
      </c>
      <c r="L336" s="2">
        <f t="shared" si="11"/>
        <v>3891.4933600000004</v>
      </c>
      <c r="O336" s="8" t="s">
        <v>124</v>
      </c>
    </row>
    <row r="337" spans="1:15" ht="28.8" hidden="1" x14ac:dyDescent="0.3">
      <c r="A337" s="11">
        <v>45455</v>
      </c>
      <c r="B337" s="1" t="s">
        <v>112</v>
      </c>
      <c r="C337" s="1" t="s">
        <v>13</v>
      </c>
      <c r="D337" s="3" t="s">
        <v>113</v>
      </c>
      <c r="E337" s="1">
        <v>6.89</v>
      </c>
      <c r="F337" s="4">
        <v>2000</v>
      </c>
      <c r="G337" s="4">
        <v>0</v>
      </c>
      <c r="H337" s="4">
        <v>2000</v>
      </c>
      <c r="I337" s="5">
        <f>+VLOOKUP($C337,Hoja2!$A$2:$B$7,2,0)</f>
        <v>290.10039999999998</v>
      </c>
      <c r="J337" s="4">
        <v>6</v>
      </c>
      <c r="K337" s="2">
        <f t="shared" si="10"/>
        <v>284.10039999999998</v>
      </c>
      <c r="L337" s="2">
        <f t="shared" si="11"/>
        <v>1957.4517559999997</v>
      </c>
      <c r="O337" s="12">
        <v>45638</v>
      </c>
    </row>
    <row r="338" spans="1:15" hidden="1" x14ac:dyDescent="0.3">
      <c r="A338" s="11" t="s">
        <v>131</v>
      </c>
      <c r="B338" s="1" t="s">
        <v>114</v>
      </c>
      <c r="C338" s="1" t="s">
        <v>9</v>
      </c>
      <c r="D338" s="3" t="s">
        <v>115</v>
      </c>
      <c r="E338" s="1">
        <v>45.13</v>
      </c>
      <c r="F338" s="4">
        <v>10000</v>
      </c>
      <c r="G338" s="4">
        <v>0</v>
      </c>
      <c r="H338" s="4">
        <v>10000</v>
      </c>
      <c r="I338" s="5">
        <f>+VLOOKUP($C338,Hoja2!$A$2:$B$7,2,0)</f>
        <v>221.59520000000001</v>
      </c>
      <c r="J338" s="4">
        <v>6</v>
      </c>
      <c r="K338" s="2">
        <f t="shared" si="10"/>
        <v>215.59520000000001</v>
      </c>
      <c r="L338" s="2">
        <f t="shared" si="11"/>
        <v>9729.8113760000015</v>
      </c>
      <c r="O338" s="12">
        <v>45608</v>
      </c>
    </row>
    <row r="339" spans="1:15" hidden="1" x14ac:dyDescent="0.3">
      <c r="A339" s="11" t="s">
        <v>131</v>
      </c>
      <c r="B339" s="1" t="s">
        <v>114</v>
      </c>
      <c r="C339" s="1" t="s">
        <v>11</v>
      </c>
      <c r="D339" s="3" t="s">
        <v>115</v>
      </c>
      <c r="E339" s="1">
        <v>20.91</v>
      </c>
      <c r="F339" s="4">
        <v>5000</v>
      </c>
      <c r="G339" s="4">
        <v>0</v>
      </c>
      <c r="H339" s="4">
        <v>5000</v>
      </c>
      <c r="I339" s="5">
        <f>+VLOOKUP($C339,Hoja2!$A$2:$B$7,2,0)</f>
        <v>239.10159999999999</v>
      </c>
      <c r="J339" s="4">
        <v>6</v>
      </c>
      <c r="K339" s="2">
        <f t="shared" si="10"/>
        <v>233.10159999999999</v>
      </c>
      <c r="L339" s="2">
        <f t="shared" si="11"/>
        <v>4874.1544560000002</v>
      </c>
      <c r="O339" s="12">
        <v>45577</v>
      </c>
    </row>
    <row r="340" spans="1:15" ht="28.8" hidden="1" x14ac:dyDescent="0.3">
      <c r="A340" s="11" t="s">
        <v>128</v>
      </c>
      <c r="B340" s="1" t="s">
        <v>116</v>
      </c>
      <c r="C340" s="1" t="s">
        <v>9</v>
      </c>
      <c r="D340" s="3" t="s">
        <v>117</v>
      </c>
      <c r="E340" s="1">
        <v>45.12</v>
      </c>
      <c r="F340" s="4">
        <v>9999</v>
      </c>
      <c r="G340" s="4">
        <v>0</v>
      </c>
      <c r="H340" s="4">
        <v>9999</v>
      </c>
      <c r="I340" s="5">
        <f>+VLOOKUP($C340,Hoja2!$A$2:$B$7,2,0)</f>
        <v>221.59520000000001</v>
      </c>
      <c r="J340" s="4">
        <v>6</v>
      </c>
      <c r="K340" s="2">
        <f t="shared" si="10"/>
        <v>215.59520000000001</v>
      </c>
      <c r="L340" s="2">
        <f t="shared" si="11"/>
        <v>9727.6554240000005</v>
      </c>
      <c r="O340" s="12">
        <v>45547</v>
      </c>
    </row>
    <row r="341" spans="1:15" ht="28.8" hidden="1" x14ac:dyDescent="0.3">
      <c r="A341" s="11" t="s">
        <v>128</v>
      </c>
      <c r="B341" s="1" t="s">
        <v>116</v>
      </c>
      <c r="C341" s="1" t="s">
        <v>9</v>
      </c>
      <c r="D341" s="3" t="s">
        <v>117</v>
      </c>
      <c r="E341" s="1">
        <v>45.12</v>
      </c>
      <c r="F341" s="4">
        <v>9999</v>
      </c>
      <c r="G341" s="4">
        <v>0</v>
      </c>
      <c r="H341" s="4">
        <v>9999</v>
      </c>
      <c r="I341" s="5">
        <f>+VLOOKUP($C341,Hoja2!$A$2:$B$7,2,0)</f>
        <v>221.59520000000001</v>
      </c>
      <c r="J341" s="4">
        <v>6</v>
      </c>
      <c r="K341" s="2">
        <f t="shared" si="10"/>
        <v>215.59520000000001</v>
      </c>
      <c r="L341" s="2">
        <f t="shared" si="11"/>
        <v>9727.6554240000005</v>
      </c>
      <c r="O341" s="12">
        <v>45516</v>
      </c>
    </row>
    <row r="342" spans="1:15" ht="28.8" hidden="1" x14ac:dyDescent="0.3">
      <c r="A342" s="11" t="s">
        <v>140</v>
      </c>
      <c r="B342" s="1" t="s">
        <v>116</v>
      </c>
      <c r="C342" s="1" t="s">
        <v>9</v>
      </c>
      <c r="D342" s="3" t="s">
        <v>117</v>
      </c>
      <c r="E342" s="1">
        <v>45.13</v>
      </c>
      <c r="F342" s="4">
        <v>10000</v>
      </c>
      <c r="G342" s="4">
        <v>0</v>
      </c>
      <c r="H342" s="4">
        <v>10000</v>
      </c>
      <c r="I342" s="5">
        <f>+VLOOKUP($C342,Hoja2!$A$2:$B$7,2,0)</f>
        <v>221.59520000000001</v>
      </c>
      <c r="J342" s="4">
        <v>6</v>
      </c>
      <c r="K342" s="2">
        <f t="shared" si="10"/>
        <v>215.59520000000001</v>
      </c>
      <c r="L342" s="2">
        <f t="shared" si="11"/>
        <v>9729.8113760000015</v>
      </c>
      <c r="O342" s="12">
        <v>45485</v>
      </c>
    </row>
    <row r="343" spans="1:15" ht="28.8" hidden="1" x14ac:dyDescent="0.3">
      <c r="A343" s="11" t="s">
        <v>140</v>
      </c>
      <c r="B343" s="1" t="s">
        <v>116</v>
      </c>
      <c r="C343" s="1" t="s">
        <v>9</v>
      </c>
      <c r="D343" s="3" t="s">
        <v>117</v>
      </c>
      <c r="E343" s="1">
        <v>45.13</v>
      </c>
      <c r="F343" s="4">
        <v>10000</v>
      </c>
      <c r="G343" s="4">
        <v>0</v>
      </c>
      <c r="H343" s="4">
        <v>10000</v>
      </c>
      <c r="I343" s="5">
        <f>+VLOOKUP($C343,Hoja2!$A$2:$B$7,2,0)</f>
        <v>221.59520000000001</v>
      </c>
      <c r="J343" s="4">
        <v>6</v>
      </c>
      <c r="K343" s="2">
        <f t="shared" si="10"/>
        <v>215.59520000000001</v>
      </c>
      <c r="L343" s="2">
        <f t="shared" si="11"/>
        <v>9729.8113760000015</v>
      </c>
      <c r="O343" s="12">
        <v>45455</v>
      </c>
    </row>
    <row r="344" spans="1:15" ht="28.8" hidden="1" x14ac:dyDescent="0.3">
      <c r="A344" s="11" t="s">
        <v>126</v>
      </c>
      <c r="B344" s="1" t="s">
        <v>116</v>
      </c>
      <c r="C344" s="1" t="s">
        <v>9</v>
      </c>
      <c r="D344" s="3" t="s">
        <v>117</v>
      </c>
      <c r="E344" s="1">
        <v>45.13</v>
      </c>
      <c r="F344" s="4">
        <v>10000</v>
      </c>
      <c r="G344" s="4">
        <v>0</v>
      </c>
      <c r="H344" s="4">
        <v>10000</v>
      </c>
      <c r="I344" s="5">
        <f>+VLOOKUP($C344,Hoja2!$A$2:$B$7,2,0)</f>
        <v>221.59520000000001</v>
      </c>
      <c r="J344" s="4">
        <v>6</v>
      </c>
      <c r="K344" s="2">
        <f t="shared" si="10"/>
        <v>215.59520000000001</v>
      </c>
      <c r="L344" s="2">
        <f t="shared" si="11"/>
        <v>9729.8113760000015</v>
      </c>
      <c r="O344" s="12">
        <v>45424</v>
      </c>
    </row>
    <row r="345" spans="1:15" ht="28.8" hidden="1" x14ac:dyDescent="0.3">
      <c r="A345" s="11" t="s">
        <v>126</v>
      </c>
      <c r="B345" s="1" t="s">
        <v>116</v>
      </c>
      <c r="C345" s="1" t="s">
        <v>9</v>
      </c>
      <c r="D345" s="3" t="s">
        <v>117</v>
      </c>
      <c r="E345" s="1">
        <v>22.56</v>
      </c>
      <c r="F345" s="4">
        <v>5000</v>
      </c>
      <c r="G345" s="4">
        <v>0</v>
      </c>
      <c r="H345" s="4">
        <v>5000</v>
      </c>
      <c r="I345" s="5">
        <f>+VLOOKUP($C345,Hoja2!$A$2:$B$7,2,0)</f>
        <v>221.59520000000001</v>
      </c>
      <c r="J345" s="4">
        <v>6</v>
      </c>
      <c r="K345" s="2">
        <f t="shared" si="10"/>
        <v>215.59520000000001</v>
      </c>
      <c r="L345" s="2">
        <f t="shared" si="11"/>
        <v>4863.8277120000002</v>
      </c>
      <c r="O345" s="12">
        <v>45394</v>
      </c>
    </row>
    <row r="346" spans="1:15" ht="28.8" hidden="1" x14ac:dyDescent="0.3">
      <c r="A346" s="11" t="s">
        <v>126</v>
      </c>
      <c r="B346" s="1" t="s">
        <v>118</v>
      </c>
      <c r="C346" s="1" t="s">
        <v>9</v>
      </c>
      <c r="D346" s="3" t="s">
        <v>119</v>
      </c>
      <c r="E346" s="1">
        <v>67.69</v>
      </c>
      <c r="F346" s="4">
        <v>15000</v>
      </c>
      <c r="G346" s="4">
        <v>0</v>
      </c>
      <c r="H346" s="4">
        <v>15000</v>
      </c>
      <c r="I346" s="5">
        <f>+VLOOKUP($C346,Hoja2!$A$2:$B$7,2,0)</f>
        <v>221.59520000000001</v>
      </c>
      <c r="J346" s="4">
        <v>6</v>
      </c>
      <c r="K346" s="2">
        <f t="shared" si="10"/>
        <v>215.59520000000001</v>
      </c>
      <c r="L346" s="2">
        <f t="shared" si="11"/>
        <v>14593.639088</v>
      </c>
      <c r="O346" s="12">
        <v>45363</v>
      </c>
    </row>
    <row r="347" spans="1:15" x14ac:dyDescent="0.3">
      <c r="H347">
        <f>SUBTOTAL(9,H87:H346)</f>
        <v>89148.2</v>
      </c>
      <c r="L347" s="13">
        <f>SUBTOTAL(9,L87:L346)</f>
        <v>86731.793008000008</v>
      </c>
      <c r="O347" s="12">
        <v>45334</v>
      </c>
    </row>
    <row r="348" spans="1:15" x14ac:dyDescent="0.3">
      <c r="O348" s="12">
        <v>45303</v>
      </c>
    </row>
    <row r="349" spans="1:15" x14ac:dyDescent="0.3">
      <c r="O349" s="9" t="s">
        <v>130</v>
      </c>
    </row>
    <row r="350" spans="1:15" x14ac:dyDescent="0.3">
      <c r="O350" s="9" t="s">
        <v>137</v>
      </c>
    </row>
    <row r="351" spans="1:15" x14ac:dyDescent="0.3">
      <c r="O351" s="9" t="s">
        <v>139</v>
      </c>
    </row>
    <row r="352" spans="1:15" x14ac:dyDescent="0.3">
      <c r="O352" s="9" t="s">
        <v>128</v>
      </c>
    </row>
    <row r="353" spans="15:15" x14ac:dyDescent="0.3">
      <c r="O353" s="9" t="s">
        <v>129</v>
      </c>
    </row>
    <row r="354" spans="15:15" x14ac:dyDescent="0.3">
      <c r="O354" s="9" t="s">
        <v>132</v>
      </c>
    </row>
    <row r="355" spans="15:15" x14ac:dyDescent="0.3">
      <c r="O355" s="9" t="s">
        <v>143</v>
      </c>
    </row>
    <row r="356" spans="15:15" x14ac:dyDescent="0.3">
      <c r="O356" s="9" t="s">
        <v>144</v>
      </c>
    </row>
    <row r="357" spans="15:15" x14ac:dyDescent="0.3">
      <c r="O357" s="9" t="s">
        <v>136</v>
      </c>
    </row>
    <row r="358" spans="15:15" x14ac:dyDescent="0.3">
      <c r="O358" s="9" t="s">
        <v>142</v>
      </c>
    </row>
    <row r="359" spans="15:15" x14ac:dyDescent="0.3">
      <c r="O359" s="9" t="s">
        <v>127</v>
      </c>
    </row>
    <row r="360" spans="15:15" x14ac:dyDescent="0.3">
      <c r="O360" s="9" t="s">
        <v>135</v>
      </c>
    </row>
    <row r="361" spans="15:15" x14ac:dyDescent="0.3">
      <c r="O361" s="9" t="s">
        <v>140</v>
      </c>
    </row>
    <row r="362" spans="15:15" x14ac:dyDescent="0.3">
      <c r="O362" s="9" t="s">
        <v>138</v>
      </c>
    </row>
    <row r="363" spans="15:15" x14ac:dyDescent="0.3">
      <c r="O363" s="9" t="s">
        <v>134</v>
      </c>
    </row>
    <row r="364" spans="15:15" x14ac:dyDescent="0.3">
      <c r="O364" s="9" t="s">
        <v>126</v>
      </c>
    </row>
    <row r="365" spans="15:15" x14ac:dyDescent="0.3">
      <c r="O365" s="9" t="s">
        <v>141</v>
      </c>
    </row>
    <row r="366" spans="15:15" x14ac:dyDescent="0.3">
      <c r="O366" s="9" t="s">
        <v>133</v>
      </c>
    </row>
    <row r="367" spans="15:15" x14ac:dyDescent="0.3">
      <c r="O367" s="9" t="s">
        <v>131</v>
      </c>
    </row>
    <row r="368" spans="15:15" x14ac:dyDescent="0.3">
      <c r="O368" s="9" t="s">
        <v>125</v>
      </c>
    </row>
  </sheetData>
  <autoFilter ref="A1:L346" xr:uid="{E7B53FDB-8896-485F-9B49-F566797650E2}">
    <filterColumn colId="1">
      <filters>
        <filter val="KELVIN ACOSTA"/>
      </filters>
    </filterColumn>
  </autoFilter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B065D-0F6B-4B7E-A0E0-A0121D13B974}">
  <dimension ref="A1:B7"/>
  <sheetViews>
    <sheetView workbookViewId="0">
      <selection activeCell="B6" sqref="B6"/>
    </sheetView>
  </sheetViews>
  <sheetFormatPr baseColWidth="10" defaultRowHeight="14.4" x14ac:dyDescent="0.3"/>
  <cols>
    <col min="1" max="1" width="14.88671875" bestFit="1" customWidth="1"/>
  </cols>
  <sheetData>
    <row r="1" spans="1:2" x14ac:dyDescent="0.3">
      <c r="A1" s="7" t="s">
        <v>2</v>
      </c>
    </row>
    <row r="2" spans="1:2" x14ac:dyDescent="0.3">
      <c r="A2" s="1" t="s">
        <v>9</v>
      </c>
      <c r="B2">
        <v>221.59520000000001</v>
      </c>
    </row>
    <row r="3" spans="1:2" x14ac:dyDescent="0.3">
      <c r="A3" s="1" t="s">
        <v>11</v>
      </c>
      <c r="B3">
        <v>239.10159999999999</v>
      </c>
    </row>
    <row r="4" spans="1:2" ht="28.8" x14ac:dyDescent="0.3">
      <c r="A4" s="1" t="s">
        <v>13</v>
      </c>
      <c r="B4">
        <v>290.10039999999998</v>
      </c>
    </row>
    <row r="5" spans="1:2" ht="28.8" x14ac:dyDescent="0.3">
      <c r="A5" s="1" t="s">
        <v>21</v>
      </c>
      <c r="B5">
        <v>272.50659999999999</v>
      </c>
    </row>
    <row r="6" spans="1:2" x14ac:dyDescent="0.3">
      <c r="A6" s="1" t="s">
        <v>96</v>
      </c>
    </row>
    <row r="7" spans="1:2" ht="28.8" x14ac:dyDescent="0.3">
      <c r="A7" s="1" t="s">
        <v>104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D354F-1761-4242-AB1D-3DD977D27C27}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PLANTILLA</vt:lpstr>
      <vt:lpstr>Hoja2</vt:lpstr>
      <vt:lpstr>COPIA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Massiel Hernandez</dc:creator>
  <cp:lastModifiedBy>Elupina Massiel Hernandez Mateo</cp:lastModifiedBy>
  <dcterms:created xsi:type="dcterms:W3CDTF">2025-01-08T21:01:57Z</dcterms:created>
  <dcterms:modified xsi:type="dcterms:W3CDTF">2025-01-08T21:02:10Z</dcterms:modified>
</cp:coreProperties>
</file>